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Overview" sheetId="1" state="visible" r:id="rId1"/>
    <sheet xmlns:r="http://schemas.openxmlformats.org/officeDocument/2006/relationships" name="Transazioni_Vendite" sheetId="2" state="visible" r:id="rId2"/>
    <sheet xmlns:r="http://schemas.openxmlformats.org/officeDocument/2006/relationships" name="Budget_Target_2026" sheetId="3" state="visible" r:id="rId3"/>
    <sheet xmlns:r="http://schemas.openxmlformats.org/officeDocument/2006/relationships" name="Benchmark_Test_AI" sheetId="4" state="visible" r:id="rId4"/>
  </sheets>
  <definedNames>
    <definedName name="_xlnm._FilterDatabase" localSheetId="1" hidden="1">'Transazioni_Vendite'!$A$1:$R$251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€ #,##0.00"/>
    <numFmt numFmtId="165" formatCode="0.0%"/>
    <numFmt numFmtId="166" formatCode="€ #,##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595959"/>
      <sz val="9"/>
    </font>
    <font>
      <name val="Calibri"/>
      <b val="1"/>
      <color rgb="001F4E79"/>
      <sz val="18"/>
    </font>
    <font>
      <name val="Calibri"/>
      <b val="1"/>
      <color rgb="001F4E79"/>
      <sz val="12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2F5597"/>
        <bgColor rgb="002F5597"/>
      </patternFill>
    </fill>
    <fill>
      <patternFill patternType="solid">
        <fgColor rgb="00D9E1F2"/>
        <bgColor rgb="00D9E1F2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medium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2" applyAlignment="1" pivotButton="0" quotePrefix="0" xfId="0">
      <alignment horizontal="center" vertical="center"/>
    </xf>
    <xf numFmtId="0" fontId="0" fillId="0" borderId="2" pivotButton="0" quotePrefix="0" xfId="0"/>
    <xf numFmtId="164" fontId="6" fillId="3" borderId="2" applyAlignment="1" pivotButton="0" quotePrefix="0" xfId="0">
      <alignment horizontal="center" vertical="center"/>
    </xf>
    <xf numFmtId="165" fontId="6" fillId="3" borderId="2" applyAlignment="1" pivotButton="0" quotePrefix="0" xfId="0">
      <alignment horizontal="center" vertical="center"/>
    </xf>
    <xf numFmtId="0" fontId="7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164" fontId="2" fillId="0" borderId="2" pivotButton="0" quotePrefix="0" xfId="0"/>
    <xf numFmtId="165" fontId="2" fillId="0" borderId="2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right" vertical="center"/>
    </xf>
    <xf numFmtId="3" fontId="2" fillId="0" borderId="2" applyAlignment="1" pivotButton="0" quotePrefix="0" xfId="0">
      <alignment horizontal="right" vertical="center"/>
    </xf>
    <xf numFmtId="165" fontId="2" fillId="0" borderId="2" applyAlignment="1" pivotButton="0" quotePrefix="0" xfId="0">
      <alignment horizontal="right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right" vertical="center"/>
    </xf>
    <xf numFmtId="3" fontId="2" fillId="3" borderId="2" applyAlignment="1" pivotButton="0" quotePrefix="0" xfId="0">
      <alignment horizontal="right" vertical="center"/>
    </xf>
    <xf numFmtId="165" fontId="2" fillId="3" borderId="2" applyAlignment="1" pivotButton="0" quotePrefix="0" xfId="0">
      <alignment horizontal="right" vertical="center"/>
    </xf>
    <xf numFmtId="166" fontId="2" fillId="0" borderId="2" applyAlignment="1" pivotButton="0" quotePrefix="0" xfId="0">
      <alignment horizontal="right" vertical="center"/>
    </xf>
    <xf numFmtId="0" fontId="1" fillId="4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Fatturato Netto vs Margine per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'Dashboard_Overview'!C10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'Dashboard_Overview'!$B$11:$B$13</f>
            </numRef>
          </cat>
          <val>
            <numRef>
              <f>'Dashboard_Overview'!$C$11:$C$13</f>
            </numRef>
          </val>
        </ser>
        <ser>
          <idx val="1"/>
          <order val="1"/>
          <tx>
            <strRef>
              <f>'Dashboard_Overview'!D10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'Dashboard_Overview'!$B$11:$B$13</f>
            </numRef>
          </cat>
          <val>
            <numRef>
              <f>'Dashboard_Overview'!$D$11:$D$13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Euro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15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5" customWidth="1" min="1" max="1"/>
    <col width="41" customWidth="1" min="2" max="2"/>
    <col width="45" customWidth="1" min="3" max="3"/>
    <col width="45" customWidth="1" min="4" max="4"/>
    <col width="12" customWidth="1" min="5" max="5"/>
    <col width="30" customWidth="1" min="6" max="6"/>
    <col width="12" customWidth="1" min="7" max="7"/>
  </cols>
  <sheetData>
    <row r="1">
      <c r="A1" s="1" t="inlineStr">
        <is>
          <t>EXECUTIVE SALES INTELLIGENCE DASHBOARD</t>
        </is>
      </c>
    </row>
    <row r="2"/>
    <row r="3">
      <c r="A3" s="2" t="inlineStr">
        <is>
          <t>Dataset sintetico generato per validazione e benchmark agenti AI (Business Intelligence &amp; Analytics)</t>
        </is>
      </c>
    </row>
    <row r="4"/>
    <row r="5">
      <c r="B5" s="3" t="inlineStr">
        <is>
          <t>FATTURATO NETTO TOTALE</t>
        </is>
      </c>
      <c r="C5" s="4" t="n"/>
      <c r="D5" s="3" t="inlineStr">
        <is>
          <t>MARGINE LORDO TOTALE</t>
        </is>
      </c>
      <c r="E5" s="4" t="n"/>
      <c r="F5" s="3" t="inlineStr">
        <is>
          <t>MARGINALITÀ MEDIA PONDERATA</t>
        </is>
      </c>
      <c r="G5" s="4" t="n"/>
    </row>
    <row r="6">
      <c r="B6" s="5">
        <f>SUM(Transazioni_Vendite!N2:N251)</f>
        <v/>
      </c>
      <c r="C6" s="4" t="n"/>
      <c r="D6" s="5">
        <f>SUM(Transazioni_Vendite!Q2:Q251)</f>
        <v/>
      </c>
      <c r="E6" s="4" t="n"/>
      <c r="F6" s="6">
        <f>D6/B6</f>
        <v/>
      </c>
      <c r="G6" s="4" t="n"/>
    </row>
    <row r="7"/>
    <row r="8"/>
    <row r="9">
      <c r="B9" s="7" t="inlineStr">
        <is>
          <t>Riepilogo per Categoria di Prodotto</t>
        </is>
      </c>
    </row>
    <row r="10">
      <c r="B10" s="8" t="inlineStr">
        <is>
          <t>Categoria Prodotto</t>
        </is>
      </c>
      <c r="C10" s="8" t="inlineStr">
        <is>
          <t>Fatturato Netto (€)</t>
        </is>
      </c>
      <c r="D10" s="8" t="inlineStr">
        <is>
          <t>Margine Lordo (€)</t>
        </is>
      </c>
      <c r="E10" s="8" t="inlineStr">
        <is>
          <t>Margine %</t>
        </is>
      </c>
      <c r="F10" s="8" t="inlineStr">
        <is>
          <t>% su Fatturato Totale</t>
        </is>
      </c>
    </row>
    <row r="11">
      <c r="B11" s="9" t="inlineStr">
        <is>
          <t>Cloud &amp; Software</t>
        </is>
      </c>
      <c r="C11" s="10">
        <f>SUMIF(Transazioni_Vendite!$G$2:$G$251, B11, Transazioni_Vendite!$N$2:$N$251)</f>
        <v/>
      </c>
      <c r="D11" s="10">
        <f>SUMIF(Transazioni_Vendite!$G$2:$G$251, B11, Transazioni_Vendite!$Q$2:$Q$251)</f>
        <v/>
      </c>
      <c r="E11" s="11">
        <f>D11/C11</f>
        <v/>
      </c>
      <c r="F11" s="11">
        <f>C11/$B$6</f>
        <v/>
      </c>
    </row>
    <row r="12">
      <c r="B12" s="9" t="inlineStr">
        <is>
          <t>Hardware &amp; IoT</t>
        </is>
      </c>
      <c r="C12" s="10">
        <f>SUMIF(Transazioni_Vendite!$G$2:$G$251, B12, Transazioni_Vendite!$N$2:$N$251)</f>
        <v/>
      </c>
      <c r="D12" s="10">
        <f>SUMIF(Transazioni_Vendite!$G$2:$G$251, B12, Transazioni_Vendite!$Q$2:$Q$251)</f>
        <v/>
      </c>
      <c r="E12" s="11">
        <f>D12/C12</f>
        <v/>
      </c>
      <c r="F12" s="11">
        <f>C12/$B$6</f>
        <v/>
      </c>
    </row>
    <row r="13">
      <c r="B13" s="9" t="inlineStr">
        <is>
          <t>Consulenza &amp; Setup</t>
        </is>
      </c>
      <c r="C13" s="10">
        <f>SUMIF(Transazioni_Vendite!$G$2:$G$251, B13, Transazioni_Vendite!$N$2:$N$251)</f>
        <v/>
      </c>
      <c r="D13" s="10">
        <f>SUMIF(Transazioni_Vendite!$G$2:$G$251, B13, Transazioni_Vendite!$Q$2:$Q$251)</f>
        <v/>
      </c>
      <c r="E13" s="11">
        <f>D13/C13</f>
        <v/>
      </c>
      <c r="F13" s="11">
        <f>C13/$B$6</f>
        <v/>
      </c>
    </row>
  </sheetData>
  <mergeCells count="7">
    <mergeCell ref="D6:E6"/>
    <mergeCell ref="B6:C6"/>
    <mergeCell ref="A1:G2"/>
    <mergeCell ref="B5:C5"/>
    <mergeCell ref="F5:G5"/>
    <mergeCell ref="D5:E5"/>
    <mergeCell ref="F6:G6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21" customWidth="1" min="3" max="3"/>
    <col width="18" customWidth="1" min="4" max="4"/>
    <col width="18" customWidth="1" min="5" max="5"/>
    <col width="27" customWidth="1" min="6" max="6"/>
    <col width="21" customWidth="1" min="7" max="7"/>
    <col width="22" customWidth="1" min="8" max="8"/>
    <col width="22" customWidth="1" min="9" max="9"/>
    <col width="12" customWidth="1" min="10" max="10"/>
    <col width="23" customWidth="1" min="11" max="11"/>
    <col width="22" customWidth="1" min="12" max="12"/>
    <col width="21" customWidth="1" min="13" max="13"/>
    <col width="22" customWidth="1" min="14" max="14"/>
    <col width="21" customWidth="1" min="15" max="15"/>
    <col width="19" customWidth="1" min="16" max="16"/>
    <col width="20" customWidth="1" min="17" max="17"/>
    <col width="13" customWidth="1" min="18" max="18"/>
  </cols>
  <sheetData>
    <row r="1">
      <c r="A1" s="12" t="inlineStr">
        <is>
          <t>ID Transazione</t>
        </is>
      </c>
      <c r="B1" s="12" t="inlineStr">
        <is>
          <t>Data Ordine</t>
        </is>
      </c>
      <c r="C1" s="12" t="inlineStr">
        <is>
          <t>Canale</t>
        </is>
      </c>
      <c r="D1" s="12" t="inlineStr">
        <is>
          <t>Area Geografica</t>
        </is>
      </c>
      <c r="E1" s="12" t="inlineStr">
        <is>
          <t>Agente Vendite</t>
        </is>
      </c>
      <c r="F1" s="12" t="inlineStr">
        <is>
          <t>Segmento Cliente</t>
        </is>
      </c>
      <c r="G1" s="12" t="inlineStr">
        <is>
          <t>Categoria Prodotto</t>
        </is>
      </c>
      <c r="H1" s="12" t="inlineStr">
        <is>
          <t>SKU / Articolo</t>
        </is>
      </c>
      <c r="I1" s="12" t="inlineStr">
        <is>
          <t>Prezzo Unitario (€)</t>
        </is>
      </c>
      <c r="J1" s="12" t="inlineStr">
        <is>
          <t>Quantità</t>
        </is>
      </c>
      <c r="K1" s="12" t="inlineStr">
        <is>
          <t>Sconto Applicato (%)</t>
        </is>
      </c>
      <c r="L1" s="12" t="inlineStr">
        <is>
          <t>Fatturato Lordo (€)</t>
        </is>
      </c>
      <c r="M1" s="12" t="inlineStr">
        <is>
          <t>Importo Sconto (€)</t>
        </is>
      </c>
      <c r="N1" s="12" t="inlineStr">
        <is>
          <t>Fatturato Netto (€)</t>
        </is>
      </c>
      <c r="O1" s="12" t="inlineStr">
        <is>
          <t>Costo Unitario (€)</t>
        </is>
      </c>
      <c r="P1" s="12" t="inlineStr">
        <is>
          <t>Costo Totale (€)</t>
        </is>
      </c>
      <c r="Q1" s="12" t="inlineStr">
        <is>
          <t>Margine Lordo (€)</t>
        </is>
      </c>
      <c r="R1" s="12" t="inlineStr">
        <is>
          <t>Margine %</t>
        </is>
      </c>
    </row>
    <row r="2">
      <c r="A2" s="9" t="inlineStr">
        <is>
          <t>TRX-2025-0001</t>
        </is>
      </c>
      <c r="B2" s="13" t="inlineStr">
        <is>
          <t>2025-02-09</t>
        </is>
      </c>
      <c r="C2" s="9" t="inlineStr">
        <is>
          <t>E-commerce</t>
        </is>
      </c>
      <c r="D2" s="9" t="inlineStr">
        <is>
          <t>Nord-Est</t>
        </is>
      </c>
      <c r="E2" s="9" t="inlineStr">
        <is>
          <t>Giulia Bianchi</t>
        </is>
      </c>
      <c r="F2" s="9" t="inlineStr">
        <is>
          <t>Enterprise</t>
        </is>
      </c>
      <c r="G2" s="9" t="inlineStr">
        <is>
          <t>Cloud &amp; Software</t>
        </is>
      </c>
      <c r="H2" s="9" t="inlineStr">
        <is>
          <t>SaaS-CORE-SMB</t>
        </is>
      </c>
      <c r="I2" s="14" t="n">
        <v>450</v>
      </c>
      <c r="J2" s="15" t="n">
        <v>5</v>
      </c>
      <c r="K2" s="16" t="n">
        <v>0.15</v>
      </c>
      <c r="L2" s="14">
        <f>I2*J2</f>
        <v/>
      </c>
      <c r="M2" s="14">
        <f>L2*K2</f>
        <v/>
      </c>
      <c r="N2" s="14">
        <f>L2-M2</f>
        <v/>
      </c>
      <c r="O2" s="14" t="n">
        <v>110</v>
      </c>
      <c r="P2" s="14">
        <f>O2*J2</f>
        <v/>
      </c>
      <c r="Q2" s="14">
        <f>N2-P2</f>
        <v/>
      </c>
      <c r="R2" s="16">
        <f>Q2/N2</f>
        <v/>
      </c>
    </row>
    <row r="3">
      <c r="A3" s="17" t="inlineStr">
        <is>
          <t>TRX-2025-0002</t>
        </is>
      </c>
      <c r="B3" s="18" t="inlineStr">
        <is>
          <t>2026-03-23</t>
        </is>
      </c>
      <c r="C3" s="17" t="inlineStr">
        <is>
          <t>B2B Diretto</t>
        </is>
      </c>
      <c r="D3" s="17" t="inlineStr">
        <is>
          <t>Nord-Ovest</t>
        </is>
      </c>
      <c r="E3" s="17" t="inlineStr">
        <is>
          <t>Giulia Bianchi</t>
        </is>
      </c>
      <c r="F3" s="17" t="inlineStr">
        <is>
          <t>Enterprise</t>
        </is>
      </c>
      <c r="G3" s="17" t="inlineStr">
        <is>
          <t>Cloud &amp; Software</t>
        </is>
      </c>
      <c r="H3" s="17" t="inlineStr">
        <is>
          <t>SaaS-PLATFORM-ENT</t>
        </is>
      </c>
      <c r="I3" s="19" t="n">
        <v>1200</v>
      </c>
      <c r="J3" s="20" t="n">
        <v>3</v>
      </c>
      <c r="K3" s="21" t="n">
        <v>0.1</v>
      </c>
      <c r="L3" s="19">
        <f>I3*J3</f>
        <v/>
      </c>
      <c r="M3" s="19">
        <f>L3*K3</f>
        <v/>
      </c>
      <c r="N3" s="19">
        <f>L3-M3</f>
        <v/>
      </c>
      <c r="O3" s="19" t="n">
        <v>320</v>
      </c>
      <c r="P3" s="19">
        <f>O3*J3</f>
        <v/>
      </c>
      <c r="Q3" s="19">
        <f>N3-P3</f>
        <v/>
      </c>
      <c r="R3" s="21">
        <f>Q3/N3</f>
        <v/>
      </c>
    </row>
    <row r="4">
      <c r="A4" s="9" t="inlineStr">
        <is>
          <t>TRX-2026-0003</t>
        </is>
      </c>
      <c r="B4" s="13" t="inlineStr">
        <is>
          <t>2025-08-28</t>
        </is>
      </c>
      <c r="C4" s="9" t="inlineStr">
        <is>
          <t>B2B Diretto</t>
        </is>
      </c>
      <c r="D4" s="9" t="inlineStr">
        <is>
          <t>Centro</t>
        </is>
      </c>
      <c r="E4" s="9" t="inlineStr">
        <is>
          <t>Marco Rossi</t>
        </is>
      </c>
      <c r="F4" s="9" t="inlineStr">
        <is>
          <t>Professionisti / SOHO</t>
        </is>
      </c>
      <c r="G4" s="9" t="inlineStr">
        <is>
          <t>Cloud &amp; Software</t>
        </is>
      </c>
      <c r="H4" s="9" t="inlineStr">
        <is>
          <t>AI-AGENT-MODULE</t>
        </is>
      </c>
      <c r="I4" s="14" t="n">
        <v>750</v>
      </c>
      <c r="J4" s="15" t="n">
        <v>5</v>
      </c>
      <c r="K4" s="16" t="n">
        <v>0</v>
      </c>
      <c r="L4" s="14">
        <f>I4*J4</f>
        <v/>
      </c>
      <c r="M4" s="14">
        <f>L4*K4</f>
        <v/>
      </c>
      <c r="N4" s="14">
        <f>L4-M4</f>
        <v/>
      </c>
      <c r="O4" s="14" t="n">
        <v>180</v>
      </c>
      <c r="P4" s="14">
        <f>O4*J4</f>
        <v/>
      </c>
      <c r="Q4" s="14">
        <f>N4-P4</f>
        <v/>
      </c>
      <c r="R4" s="16">
        <f>Q4/N4</f>
        <v/>
      </c>
    </row>
    <row r="5">
      <c r="A5" s="17" t="inlineStr">
        <is>
          <t>TRX-2025-0004</t>
        </is>
      </c>
      <c r="B5" s="18" t="inlineStr">
        <is>
          <t>2025-08-23</t>
        </is>
      </c>
      <c r="C5" s="17" t="inlineStr">
        <is>
          <t>Partner / Retailer</t>
        </is>
      </c>
      <c r="D5" s="17" t="inlineStr">
        <is>
          <t>Centro</t>
        </is>
      </c>
      <c r="E5" s="17" t="inlineStr">
        <is>
          <t>Marco Rossi</t>
        </is>
      </c>
      <c r="F5" s="17" t="inlineStr">
        <is>
          <t>Enterprise</t>
        </is>
      </c>
      <c r="G5" s="17" t="inlineStr">
        <is>
          <t>Cloud &amp; Software</t>
        </is>
      </c>
      <c r="H5" s="17" t="inlineStr">
        <is>
          <t>SaaS-CORE-SMB</t>
        </is>
      </c>
      <c r="I5" s="19" t="n">
        <v>450</v>
      </c>
      <c r="J5" s="20" t="n">
        <v>2</v>
      </c>
      <c r="K5" s="21" t="n">
        <v>0</v>
      </c>
      <c r="L5" s="19">
        <f>I5*J5</f>
        <v/>
      </c>
      <c r="M5" s="19">
        <f>L5*K5</f>
        <v/>
      </c>
      <c r="N5" s="19">
        <f>L5-M5</f>
        <v/>
      </c>
      <c r="O5" s="19" t="n">
        <v>110</v>
      </c>
      <c r="P5" s="19">
        <f>O5*J5</f>
        <v/>
      </c>
      <c r="Q5" s="19">
        <f>N5-P5</f>
        <v/>
      </c>
      <c r="R5" s="21">
        <f>Q5/N5</f>
        <v/>
      </c>
    </row>
    <row r="6">
      <c r="A6" s="9" t="inlineStr">
        <is>
          <t>TRX-2026-0005</t>
        </is>
      </c>
      <c r="B6" s="13" t="inlineStr">
        <is>
          <t>2025-02-28</t>
        </is>
      </c>
      <c r="C6" s="9" t="inlineStr">
        <is>
          <t>E-commerce</t>
        </is>
      </c>
      <c r="D6" s="9" t="inlineStr">
        <is>
          <t>Estero (EU)</t>
        </is>
      </c>
      <c r="E6" s="9" t="inlineStr">
        <is>
          <t>Marco Rossi</t>
        </is>
      </c>
      <c r="F6" s="9" t="inlineStr">
        <is>
          <t>Pubblica Amministrazione</t>
        </is>
      </c>
      <c r="G6" s="9" t="inlineStr">
        <is>
          <t>Consulenza &amp; Setup</t>
        </is>
      </c>
      <c r="H6" s="9" t="inlineStr">
        <is>
          <t>SETUP-INTEGRATION</t>
        </is>
      </c>
      <c r="I6" s="14" t="n">
        <v>1500</v>
      </c>
      <c r="J6" s="15" t="n">
        <v>1</v>
      </c>
      <c r="K6" s="16" t="n">
        <v>0</v>
      </c>
      <c r="L6" s="14">
        <f>I6*J6</f>
        <v/>
      </c>
      <c r="M6" s="14">
        <f>L6*K6</f>
        <v/>
      </c>
      <c r="N6" s="14">
        <f>L6-M6</f>
        <v/>
      </c>
      <c r="O6" s="14" t="n">
        <v>650</v>
      </c>
      <c r="P6" s="14">
        <f>O6*J6</f>
        <v/>
      </c>
      <c r="Q6" s="14">
        <f>N6-P6</f>
        <v/>
      </c>
      <c r="R6" s="16">
        <f>Q6/N6</f>
        <v/>
      </c>
    </row>
    <row r="7">
      <c r="A7" s="17" t="inlineStr">
        <is>
          <t>TRX-2026-0006</t>
        </is>
      </c>
      <c r="B7" s="18" t="inlineStr">
        <is>
          <t>2026-08-29</t>
        </is>
      </c>
      <c r="C7" s="17" t="inlineStr">
        <is>
          <t>B2B Diretto</t>
        </is>
      </c>
      <c r="D7" s="17" t="inlineStr">
        <is>
          <t>Nord-Ovest</t>
        </is>
      </c>
      <c r="E7" s="17" t="inlineStr">
        <is>
          <t>Marco Rossi</t>
        </is>
      </c>
      <c r="F7" s="17" t="inlineStr">
        <is>
          <t>PMI</t>
        </is>
      </c>
      <c r="G7" s="17" t="inlineStr">
        <is>
          <t>Hardware &amp; IoT</t>
        </is>
      </c>
      <c r="H7" s="17" t="inlineStr">
        <is>
          <t>SENSOR-IOT-PACK</t>
        </is>
      </c>
      <c r="I7" s="19" t="n">
        <v>290</v>
      </c>
      <c r="J7" s="20" t="n">
        <v>20</v>
      </c>
      <c r="K7" s="21" t="n">
        <v>0.15</v>
      </c>
      <c r="L7" s="19">
        <f>I7*J7</f>
        <v/>
      </c>
      <c r="M7" s="19">
        <f>L7*K7</f>
        <v/>
      </c>
      <c r="N7" s="19">
        <f>L7-M7</f>
        <v/>
      </c>
      <c r="O7" s="19" t="n">
        <v>140</v>
      </c>
      <c r="P7" s="19">
        <f>O7*J7</f>
        <v/>
      </c>
      <c r="Q7" s="19">
        <f>N7-P7</f>
        <v/>
      </c>
      <c r="R7" s="21">
        <f>Q7/N7</f>
        <v/>
      </c>
    </row>
    <row r="8">
      <c r="A8" s="9" t="inlineStr">
        <is>
          <t>TRX-2025-0007</t>
        </is>
      </c>
      <c r="B8" s="13" t="inlineStr">
        <is>
          <t>2026-02-08</t>
        </is>
      </c>
      <c r="C8" s="9" t="inlineStr">
        <is>
          <t>B2B Diretto</t>
        </is>
      </c>
      <c r="D8" s="9" t="inlineStr">
        <is>
          <t>Centro</t>
        </is>
      </c>
      <c r="E8" s="9" t="inlineStr">
        <is>
          <t>Giulia Bianchi</t>
        </is>
      </c>
      <c r="F8" s="9" t="inlineStr">
        <is>
          <t>PMI</t>
        </is>
      </c>
      <c r="G8" s="9" t="inlineStr">
        <is>
          <t>Hardware &amp; IoT</t>
        </is>
      </c>
      <c r="H8" s="9" t="inlineStr">
        <is>
          <t>GATEWAY-EDGE-PRO</t>
        </is>
      </c>
      <c r="I8" s="14" t="n">
        <v>890</v>
      </c>
      <c r="J8" s="15" t="n">
        <v>5</v>
      </c>
      <c r="K8" s="16" t="n">
        <v>0.1</v>
      </c>
      <c r="L8" s="14">
        <f>I8*J8</f>
        <v/>
      </c>
      <c r="M8" s="14">
        <f>L8*K8</f>
        <v/>
      </c>
      <c r="N8" s="14">
        <f>L8-M8</f>
        <v/>
      </c>
      <c r="O8" s="14" t="n">
        <v>520</v>
      </c>
      <c r="P8" s="14">
        <f>O8*J8</f>
        <v/>
      </c>
      <c r="Q8" s="14">
        <f>N8-P8</f>
        <v/>
      </c>
      <c r="R8" s="16">
        <f>Q8/N8</f>
        <v/>
      </c>
    </row>
    <row r="9">
      <c r="A9" s="17" t="inlineStr">
        <is>
          <t>TRX-2025-0008</t>
        </is>
      </c>
      <c r="B9" s="18" t="inlineStr">
        <is>
          <t>2025-07-09</t>
        </is>
      </c>
      <c r="C9" s="17" t="inlineStr">
        <is>
          <t>E-commerce</t>
        </is>
      </c>
      <c r="D9" s="17" t="inlineStr">
        <is>
          <t>Nord-Est</t>
        </is>
      </c>
      <c r="E9" s="17" t="inlineStr">
        <is>
          <t>Giulia Bianchi</t>
        </is>
      </c>
      <c r="F9" s="17" t="inlineStr">
        <is>
          <t>PMI</t>
        </is>
      </c>
      <c r="G9" s="17" t="inlineStr">
        <is>
          <t>Hardware &amp; IoT</t>
        </is>
      </c>
      <c r="H9" s="17" t="inlineStr">
        <is>
          <t>SENSOR-IOT-PACK</t>
        </is>
      </c>
      <c r="I9" s="19" t="n">
        <v>290</v>
      </c>
      <c r="J9" s="20" t="n">
        <v>20</v>
      </c>
      <c r="K9" s="21" t="n">
        <v>0.05</v>
      </c>
      <c r="L9" s="19">
        <f>I9*J9</f>
        <v/>
      </c>
      <c r="M9" s="19">
        <f>L9*K9</f>
        <v/>
      </c>
      <c r="N9" s="19">
        <f>L9-M9</f>
        <v/>
      </c>
      <c r="O9" s="19" t="n">
        <v>140</v>
      </c>
      <c r="P9" s="19">
        <f>O9*J9</f>
        <v/>
      </c>
      <c r="Q9" s="19">
        <f>N9-P9</f>
        <v/>
      </c>
      <c r="R9" s="21">
        <f>Q9/N9</f>
        <v/>
      </c>
    </row>
    <row r="10">
      <c r="A10" s="9" t="inlineStr">
        <is>
          <t>TRX-2025-0009</t>
        </is>
      </c>
      <c r="B10" s="13" t="inlineStr">
        <is>
          <t>2025-12-13</t>
        </is>
      </c>
      <c r="C10" s="9" t="inlineStr">
        <is>
          <t>Partner / Retailer</t>
        </is>
      </c>
      <c r="D10" s="9" t="inlineStr">
        <is>
          <t>Nord-Ovest</t>
        </is>
      </c>
      <c r="E10" s="9" t="inlineStr">
        <is>
          <t>Giulia Bianchi</t>
        </is>
      </c>
      <c r="F10" s="9" t="inlineStr">
        <is>
          <t>Professionisti / SOHO</t>
        </is>
      </c>
      <c r="G10" s="9" t="inlineStr">
        <is>
          <t>Hardware &amp; IoT</t>
        </is>
      </c>
      <c r="H10" s="9" t="inlineStr">
        <is>
          <t>TERMINAL-SMART-V2</t>
        </is>
      </c>
      <c r="I10" s="14" t="n">
        <v>640</v>
      </c>
      <c r="J10" s="15" t="n">
        <v>2</v>
      </c>
      <c r="K10" s="16" t="n">
        <v>0</v>
      </c>
      <c r="L10" s="14">
        <f>I10*J10</f>
        <v/>
      </c>
      <c r="M10" s="14">
        <f>L10*K10</f>
        <v/>
      </c>
      <c r="N10" s="14">
        <f>L10-M10</f>
        <v/>
      </c>
      <c r="O10" s="14" t="n">
        <v>380</v>
      </c>
      <c r="P10" s="14">
        <f>O10*J10</f>
        <v/>
      </c>
      <c r="Q10" s="14">
        <f>N10-P10</f>
        <v/>
      </c>
      <c r="R10" s="16">
        <f>Q10/N10</f>
        <v/>
      </c>
    </row>
    <row r="11">
      <c r="A11" s="17" t="inlineStr">
        <is>
          <t>TRX-2026-0010</t>
        </is>
      </c>
      <c r="B11" s="18" t="inlineStr">
        <is>
          <t>2025-08-20</t>
        </is>
      </c>
      <c r="C11" s="17" t="inlineStr">
        <is>
          <t>E-commerce</t>
        </is>
      </c>
      <c r="D11" s="17" t="inlineStr">
        <is>
          <t>Sud &amp; Isole</t>
        </is>
      </c>
      <c r="E11" s="17" t="inlineStr">
        <is>
          <t>Elena Conti</t>
        </is>
      </c>
      <c r="F11" s="17" t="inlineStr">
        <is>
          <t>Enterprise</t>
        </is>
      </c>
      <c r="G11" s="17" t="inlineStr">
        <is>
          <t>Cloud &amp; Software</t>
        </is>
      </c>
      <c r="H11" s="17" t="inlineStr">
        <is>
          <t>AI-AGENT-MODULE</t>
        </is>
      </c>
      <c r="I11" s="19" t="n">
        <v>750</v>
      </c>
      <c r="J11" s="20" t="n">
        <v>1</v>
      </c>
      <c r="K11" s="21" t="n">
        <v>0.05</v>
      </c>
      <c r="L11" s="19">
        <f>I11*J11</f>
        <v/>
      </c>
      <c r="M11" s="19">
        <f>L11*K11</f>
        <v/>
      </c>
      <c r="N11" s="19">
        <f>L11-M11</f>
        <v/>
      </c>
      <c r="O11" s="19" t="n">
        <v>180</v>
      </c>
      <c r="P11" s="19">
        <f>O11*J11</f>
        <v/>
      </c>
      <c r="Q11" s="19">
        <f>N11-P11</f>
        <v/>
      </c>
      <c r="R11" s="21">
        <f>Q11/N11</f>
        <v/>
      </c>
    </row>
    <row r="12">
      <c r="A12" s="9" t="inlineStr">
        <is>
          <t>TRX-2026-0011</t>
        </is>
      </c>
      <c r="B12" s="13" t="inlineStr">
        <is>
          <t>2026-03-29</t>
        </is>
      </c>
      <c r="C12" s="9" t="inlineStr">
        <is>
          <t>Partner / Retailer</t>
        </is>
      </c>
      <c r="D12" s="9" t="inlineStr">
        <is>
          <t>Sud &amp; Isole</t>
        </is>
      </c>
      <c r="E12" s="9" t="inlineStr">
        <is>
          <t>Alessandro Riva</t>
        </is>
      </c>
      <c r="F12" s="9" t="inlineStr">
        <is>
          <t>Enterprise</t>
        </is>
      </c>
      <c r="G12" s="9" t="inlineStr">
        <is>
          <t>Cloud &amp; Software</t>
        </is>
      </c>
      <c r="H12" s="9" t="inlineStr">
        <is>
          <t>AI-AGENT-MODULE</t>
        </is>
      </c>
      <c r="I12" s="14" t="n">
        <v>750</v>
      </c>
      <c r="J12" s="15" t="n">
        <v>3</v>
      </c>
      <c r="K12" s="16" t="n">
        <v>0</v>
      </c>
      <c r="L12" s="14">
        <f>I12*J12</f>
        <v/>
      </c>
      <c r="M12" s="14">
        <f>L12*K12</f>
        <v/>
      </c>
      <c r="N12" s="14">
        <f>L12-M12</f>
        <v/>
      </c>
      <c r="O12" s="14" t="n">
        <v>180</v>
      </c>
      <c r="P12" s="14">
        <f>O12*J12</f>
        <v/>
      </c>
      <c r="Q12" s="14">
        <f>N12-P12</f>
        <v/>
      </c>
      <c r="R12" s="16">
        <f>Q12/N12</f>
        <v/>
      </c>
    </row>
    <row r="13">
      <c r="A13" s="17" t="inlineStr">
        <is>
          <t>TRX-2025-0012</t>
        </is>
      </c>
      <c r="B13" s="18" t="inlineStr">
        <is>
          <t>2025-05-07</t>
        </is>
      </c>
      <c r="C13" s="17" t="inlineStr">
        <is>
          <t>B2B Diretto</t>
        </is>
      </c>
      <c r="D13" s="17" t="inlineStr">
        <is>
          <t>Nord-Est</t>
        </is>
      </c>
      <c r="E13" s="17" t="inlineStr">
        <is>
          <t>Elena Conti</t>
        </is>
      </c>
      <c r="F13" s="17" t="inlineStr">
        <is>
          <t>PMI</t>
        </is>
      </c>
      <c r="G13" s="17" t="inlineStr">
        <is>
          <t>Consulenza &amp; Setup</t>
        </is>
      </c>
      <c r="H13" s="17" t="inlineStr">
        <is>
          <t>SETUP-INTEGRATION</t>
        </is>
      </c>
      <c r="I13" s="19" t="n">
        <v>1500</v>
      </c>
      <c r="J13" s="20" t="n">
        <v>2</v>
      </c>
      <c r="K13" s="21" t="n">
        <v>0.2</v>
      </c>
      <c r="L13" s="19">
        <f>I13*J13</f>
        <v/>
      </c>
      <c r="M13" s="19">
        <f>L13*K13</f>
        <v/>
      </c>
      <c r="N13" s="19">
        <f>L13-M13</f>
        <v/>
      </c>
      <c r="O13" s="19" t="n">
        <v>650</v>
      </c>
      <c r="P13" s="19">
        <f>O13*J13</f>
        <v/>
      </c>
      <c r="Q13" s="19">
        <f>N13-P13</f>
        <v/>
      </c>
      <c r="R13" s="21">
        <f>Q13/N13</f>
        <v/>
      </c>
    </row>
    <row r="14">
      <c r="A14" s="9" t="inlineStr">
        <is>
          <t>TRX-2026-0013</t>
        </is>
      </c>
      <c r="B14" s="13" t="inlineStr">
        <is>
          <t>2026-08-04</t>
        </is>
      </c>
      <c r="C14" s="9" t="inlineStr">
        <is>
          <t>Partner / Retailer</t>
        </is>
      </c>
      <c r="D14" s="9" t="inlineStr">
        <is>
          <t>Nord-Ovest</t>
        </is>
      </c>
      <c r="E14" s="9" t="inlineStr">
        <is>
          <t>Marco Rossi</t>
        </is>
      </c>
      <c r="F14" s="9" t="inlineStr">
        <is>
          <t>PMI</t>
        </is>
      </c>
      <c r="G14" s="9" t="inlineStr">
        <is>
          <t>Consulenza &amp; Setup</t>
        </is>
      </c>
      <c r="H14" s="9" t="inlineStr">
        <is>
          <t>SECURITY-AUDIT</t>
        </is>
      </c>
      <c r="I14" s="14" t="n">
        <v>2200</v>
      </c>
      <c r="J14" s="15" t="n">
        <v>8</v>
      </c>
      <c r="K14" s="16" t="n">
        <v>0.1</v>
      </c>
      <c r="L14" s="14">
        <f>I14*J14</f>
        <v/>
      </c>
      <c r="M14" s="14">
        <f>L14*K14</f>
        <v/>
      </c>
      <c r="N14" s="14">
        <f>L14-M14</f>
        <v/>
      </c>
      <c r="O14" s="14" t="n">
        <v>950</v>
      </c>
      <c r="P14" s="14">
        <f>O14*J14</f>
        <v/>
      </c>
      <c r="Q14" s="14">
        <f>N14-P14</f>
        <v/>
      </c>
      <c r="R14" s="16">
        <f>Q14/N14</f>
        <v/>
      </c>
    </row>
    <row r="15">
      <c r="A15" s="17" t="inlineStr">
        <is>
          <t>TRX-2026-0014</t>
        </is>
      </c>
      <c r="B15" s="18" t="inlineStr">
        <is>
          <t>2025-05-09</t>
        </is>
      </c>
      <c r="C15" s="17" t="inlineStr">
        <is>
          <t>B2B Diretto</t>
        </is>
      </c>
      <c r="D15" s="17" t="inlineStr">
        <is>
          <t>Nord-Est</t>
        </is>
      </c>
      <c r="E15" s="17" t="inlineStr">
        <is>
          <t>Elena Conti</t>
        </is>
      </c>
      <c r="F15" s="17" t="inlineStr">
        <is>
          <t>Enterprise</t>
        </is>
      </c>
      <c r="G15" s="17" t="inlineStr">
        <is>
          <t>Hardware &amp; IoT</t>
        </is>
      </c>
      <c r="H15" s="17" t="inlineStr">
        <is>
          <t>SENSOR-IOT-PACK</t>
        </is>
      </c>
      <c r="I15" s="19" t="n">
        <v>290</v>
      </c>
      <c r="J15" s="20" t="n">
        <v>20</v>
      </c>
      <c r="K15" s="21" t="n">
        <v>0.1</v>
      </c>
      <c r="L15" s="19">
        <f>I15*J15</f>
        <v/>
      </c>
      <c r="M15" s="19">
        <f>L15*K15</f>
        <v/>
      </c>
      <c r="N15" s="19">
        <f>L15-M15</f>
        <v/>
      </c>
      <c r="O15" s="19" t="n">
        <v>140</v>
      </c>
      <c r="P15" s="19">
        <f>O15*J15</f>
        <v/>
      </c>
      <c r="Q15" s="19">
        <f>N15-P15</f>
        <v/>
      </c>
      <c r="R15" s="21">
        <f>Q15/N15</f>
        <v/>
      </c>
    </row>
    <row r="16">
      <c r="A16" s="9" t="inlineStr">
        <is>
          <t>TRX-2025-0015</t>
        </is>
      </c>
      <c r="B16" s="13" t="inlineStr">
        <is>
          <t>2025-11-16</t>
        </is>
      </c>
      <c r="C16" s="9" t="inlineStr">
        <is>
          <t>Partner / Retailer</t>
        </is>
      </c>
      <c r="D16" s="9" t="inlineStr">
        <is>
          <t>Estero (EU)</t>
        </is>
      </c>
      <c r="E16" s="9" t="inlineStr">
        <is>
          <t>Roberto Moretti</t>
        </is>
      </c>
      <c r="F16" s="9" t="inlineStr">
        <is>
          <t>Enterprise</t>
        </is>
      </c>
      <c r="G16" s="9" t="inlineStr">
        <is>
          <t>Hardware &amp; IoT</t>
        </is>
      </c>
      <c r="H16" s="9" t="inlineStr">
        <is>
          <t>TERMINAL-SMART-V2</t>
        </is>
      </c>
      <c r="I16" s="14" t="n">
        <v>640</v>
      </c>
      <c r="J16" s="15" t="n">
        <v>8</v>
      </c>
      <c r="K16" s="16" t="n">
        <v>0.05</v>
      </c>
      <c r="L16" s="14">
        <f>I16*J16</f>
        <v/>
      </c>
      <c r="M16" s="14">
        <f>L16*K16</f>
        <v/>
      </c>
      <c r="N16" s="14">
        <f>L16-M16</f>
        <v/>
      </c>
      <c r="O16" s="14" t="n">
        <v>380</v>
      </c>
      <c r="P16" s="14">
        <f>O16*J16</f>
        <v/>
      </c>
      <c r="Q16" s="14">
        <f>N16-P16</f>
        <v/>
      </c>
      <c r="R16" s="16">
        <f>Q16/N16</f>
        <v/>
      </c>
    </row>
    <row r="17">
      <c r="A17" s="17" t="inlineStr">
        <is>
          <t>TRX-2025-0016</t>
        </is>
      </c>
      <c r="B17" s="18" t="inlineStr">
        <is>
          <t>2025-12-12</t>
        </is>
      </c>
      <c r="C17" s="17" t="inlineStr">
        <is>
          <t>E-commerce</t>
        </is>
      </c>
      <c r="D17" s="17" t="inlineStr">
        <is>
          <t>Nord-Ovest</t>
        </is>
      </c>
      <c r="E17" s="17" t="inlineStr">
        <is>
          <t>Alessandro Riva</t>
        </is>
      </c>
      <c r="F17" s="17" t="inlineStr">
        <is>
          <t>Professionisti / SOHO</t>
        </is>
      </c>
      <c r="G17" s="17" t="inlineStr">
        <is>
          <t>Hardware &amp; IoT</t>
        </is>
      </c>
      <c r="H17" s="17" t="inlineStr">
        <is>
          <t>SENSOR-IOT-PACK</t>
        </is>
      </c>
      <c r="I17" s="19" t="n">
        <v>290</v>
      </c>
      <c r="J17" s="20" t="n">
        <v>1</v>
      </c>
      <c r="K17" s="21" t="n">
        <v>0</v>
      </c>
      <c r="L17" s="19">
        <f>I17*J17</f>
        <v/>
      </c>
      <c r="M17" s="19">
        <f>L17*K17</f>
        <v/>
      </c>
      <c r="N17" s="19">
        <f>L17-M17</f>
        <v/>
      </c>
      <c r="O17" s="19" t="n">
        <v>140</v>
      </c>
      <c r="P17" s="19">
        <f>O17*J17</f>
        <v/>
      </c>
      <c r="Q17" s="19">
        <f>N17-P17</f>
        <v/>
      </c>
      <c r="R17" s="21">
        <f>Q17/N17</f>
        <v/>
      </c>
    </row>
    <row r="18">
      <c r="A18" s="9" t="inlineStr">
        <is>
          <t>TRX-2025-0017</t>
        </is>
      </c>
      <c r="B18" s="13" t="inlineStr">
        <is>
          <t>2025-04-12</t>
        </is>
      </c>
      <c r="C18" s="9" t="inlineStr">
        <is>
          <t>E-commerce</t>
        </is>
      </c>
      <c r="D18" s="9" t="inlineStr">
        <is>
          <t>Nord-Ovest</t>
        </is>
      </c>
      <c r="E18" s="9" t="inlineStr">
        <is>
          <t>Roberto Moretti</t>
        </is>
      </c>
      <c r="F18" s="9" t="inlineStr">
        <is>
          <t>Professionisti / SOHO</t>
        </is>
      </c>
      <c r="G18" s="9" t="inlineStr">
        <is>
          <t>Cloud &amp; Software</t>
        </is>
      </c>
      <c r="H18" s="9" t="inlineStr">
        <is>
          <t>AI-AGENT-MODULE</t>
        </is>
      </c>
      <c r="I18" s="14" t="n">
        <v>750</v>
      </c>
      <c r="J18" s="15" t="n">
        <v>5</v>
      </c>
      <c r="K18" s="16" t="n">
        <v>0.15</v>
      </c>
      <c r="L18" s="14">
        <f>I18*J18</f>
        <v/>
      </c>
      <c r="M18" s="14">
        <f>L18*K18</f>
        <v/>
      </c>
      <c r="N18" s="14">
        <f>L18-M18</f>
        <v/>
      </c>
      <c r="O18" s="14" t="n">
        <v>180</v>
      </c>
      <c r="P18" s="14">
        <f>O18*J18</f>
        <v/>
      </c>
      <c r="Q18" s="14">
        <f>N18-P18</f>
        <v/>
      </c>
      <c r="R18" s="16">
        <f>Q18/N18</f>
        <v/>
      </c>
    </row>
    <row r="19">
      <c r="A19" s="17" t="inlineStr">
        <is>
          <t>TRX-2025-0018</t>
        </is>
      </c>
      <c r="B19" s="18" t="inlineStr">
        <is>
          <t>2025-10-13</t>
        </is>
      </c>
      <c r="C19" s="17" t="inlineStr">
        <is>
          <t>E-commerce</t>
        </is>
      </c>
      <c r="D19" s="17" t="inlineStr">
        <is>
          <t>Estero (EU)</t>
        </is>
      </c>
      <c r="E19" s="17" t="inlineStr">
        <is>
          <t>Elena Conti</t>
        </is>
      </c>
      <c r="F19" s="17" t="inlineStr">
        <is>
          <t>Pubblica Amministrazione</t>
        </is>
      </c>
      <c r="G19" s="17" t="inlineStr">
        <is>
          <t>Consulenza &amp; Setup</t>
        </is>
      </c>
      <c r="H19" s="17" t="inlineStr">
        <is>
          <t>SECURITY-AUDIT</t>
        </is>
      </c>
      <c r="I19" s="19" t="n">
        <v>2200</v>
      </c>
      <c r="J19" s="20" t="n">
        <v>8</v>
      </c>
      <c r="K19" s="21" t="n">
        <v>0.1</v>
      </c>
      <c r="L19" s="19">
        <f>I19*J19</f>
        <v/>
      </c>
      <c r="M19" s="19">
        <f>L19*K19</f>
        <v/>
      </c>
      <c r="N19" s="19">
        <f>L19-M19</f>
        <v/>
      </c>
      <c r="O19" s="19" t="n">
        <v>950</v>
      </c>
      <c r="P19" s="19">
        <f>O19*J19</f>
        <v/>
      </c>
      <c r="Q19" s="19">
        <f>N19-P19</f>
        <v/>
      </c>
      <c r="R19" s="21">
        <f>Q19/N19</f>
        <v/>
      </c>
    </row>
    <row r="20">
      <c r="A20" s="9" t="inlineStr">
        <is>
          <t>TRX-2026-0019</t>
        </is>
      </c>
      <c r="B20" s="13" t="inlineStr">
        <is>
          <t>2026-02-27</t>
        </is>
      </c>
      <c r="C20" s="9" t="inlineStr">
        <is>
          <t>Partner / Retailer</t>
        </is>
      </c>
      <c r="D20" s="9" t="inlineStr">
        <is>
          <t>Centro</t>
        </is>
      </c>
      <c r="E20" s="9" t="inlineStr">
        <is>
          <t>Elena Conti</t>
        </is>
      </c>
      <c r="F20" s="9" t="inlineStr">
        <is>
          <t>Professionisti / SOHO</t>
        </is>
      </c>
      <c r="G20" s="9" t="inlineStr">
        <is>
          <t>Consulenza &amp; Setup</t>
        </is>
      </c>
      <c r="H20" s="9" t="inlineStr">
        <is>
          <t>TRAINING-ONBOARDING</t>
        </is>
      </c>
      <c r="I20" s="14" t="n">
        <v>800</v>
      </c>
      <c r="J20" s="15" t="n">
        <v>1</v>
      </c>
      <c r="K20" s="16" t="n">
        <v>0</v>
      </c>
      <c r="L20" s="14">
        <f>I20*J20</f>
        <v/>
      </c>
      <c r="M20" s="14">
        <f>L20*K20</f>
        <v/>
      </c>
      <c r="N20" s="14">
        <f>L20-M20</f>
        <v/>
      </c>
      <c r="O20" s="14" t="n">
        <v>350</v>
      </c>
      <c r="P20" s="14">
        <f>O20*J20</f>
        <v/>
      </c>
      <c r="Q20" s="14">
        <f>N20-P20</f>
        <v/>
      </c>
      <c r="R20" s="16">
        <f>Q20/N20</f>
        <v/>
      </c>
    </row>
    <row r="21">
      <c r="A21" s="17" t="inlineStr">
        <is>
          <t>TRX-2026-0020</t>
        </is>
      </c>
      <c r="B21" s="18" t="inlineStr">
        <is>
          <t>2025-02-05</t>
        </is>
      </c>
      <c r="C21" s="17" t="inlineStr">
        <is>
          <t>E-commerce</t>
        </is>
      </c>
      <c r="D21" s="17" t="inlineStr">
        <is>
          <t>Nord-Est</t>
        </is>
      </c>
      <c r="E21" s="17" t="inlineStr">
        <is>
          <t>Roberto Moretti</t>
        </is>
      </c>
      <c r="F21" s="17" t="inlineStr">
        <is>
          <t>Enterprise</t>
        </is>
      </c>
      <c r="G21" s="17" t="inlineStr">
        <is>
          <t>Cloud &amp; Software</t>
        </is>
      </c>
      <c r="H21" s="17" t="inlineStr">
        <is>
          <t>SaaS-CORE-SMB</t>
        </is>
      </c>
      <c r="I21" s="19" t="n">
        <v>450</v>
      </c>
      <c r="J21" s="20" t="n">
        <v>5</v>
      </c>
      <c r="K21" s="21" t="n">
        <v>0</v>
      </c>
      <c r="L21" s="19">
        <f>I21*J21</f>
        <v/>
      </c>
      <c r="M21" s="19">
        <f>L21*K21</f>
        <v/>
      </c>
      <c r="N21" s="19">
        <f>L21-M21</f>
        <v/>
      </c>
      <c r="O21" s="19" t="n">
        <v>110</v>
      </c>
      <c r="P21" s="19">
        <f>O21*J21</f>
        <v/>
      </c>
      <c r="Q21" s="19">
        <f>N21-P21</f>
        <v/>
      </c>
      <c r="R21" s="21">
        <f>Q21/N21</f>
        <v/>
      </c>
    </row>
    <row r="22">
      <c r="A22" s="9" t="inlineStr">
        <is>
          <t>TRX-2025-0021</t>
        </is>
      </c>
      <c r="B22" s="13" t="inlineStr">
        <is>
          <t>2025-02-16</t>
        </is>
      </c>
      <c r="C22" s="9" t="inlineStr">
        <is>
          <t>Partner / Retailer</t>
        </is>
      </c>
      <c r="D22" s="9" t="inlineStr">
        <is>
          <t>Nord-Ovest</t>
        </is>
      </c>
      <c r="E22" s="9" t="inlineStr">
        <is>
          <t>Roberto Moretti</t>
        </is>
      </c>
      <c r="F22" s="9" t="inlineStr">
        <is>
          <t>Enterprise</t>
        </is>
      </c>
      <c r="G22" s="9" t="inlineStr">
        <is>
          <t>Consulenza &amp; Setup</t>
        </is>
      </c>
      <c r="H22" s="9" t="inlineStr">
        <is>
          <t>TRAINING-ONBOARDING</t>
        </is>
      </c>
      <c r="I22" s="14" t="n">
        <v>800</v>
      </c>
      <c r="J22" s="15" t="n">
        <v>1</v>
      </c>
      <c r="K22" s="16" t="n">
        <v>0</v>
      </c>
      <c r="L22" s="14">
        <f>I22*J22</f>
        <v/>
      </c>
      <c r="M22" s="14">
        <f>L22*K22</f>
        <v/>
      </c>
      <c r="N22" s="14">
        <f>L22-M22</f>
        <v/>
      </c>
      <c r="O22" s="14" t="n">
        <v>350</v>
      </c>
      <c r="P22" s="14">
        <f>O22*J22</f>
        <v/>
      </c>
      <c r="Q22" s="14">
        <f>N22-P22</f>
        <v/>
      </c>
      <c r="R22" s="16">
        <f>Q22/N22</f>
        <v/>
      </c>
    </row>
    <row r="23">
      <c r="A23" s="17" t="inlineStr">
        <is>
          <t>TRX-2026-0022</t>
        </is>
      </c>
      <c r="B23" s="18" t="inlineStr">
        <is>
          <t>2025-09-20</t>
        </is>
      </c>
      <c r="C23" s="17" t="inlineStr">
        <is>
          <t>E-commerce</t>
        </is>
      </c>
      <c r="D23" s="17" t="inlineStr">
        <is>
          <t>Sud &amp; Isole</t>
        </is>
      </c>
      <c r="E23" s="17" t="inlineStr">
        <is>
          <t>Giulia Bianchi</t>
        </is>
      </c>
      <c r="F23" s="17" t="inlineStr">
        <is>
          <t>Enterprise</t>
        </is>
      </c>
      <c r="G23" s="17" t="inlineStr">
        <is>
          <t>Consulenza &amp; Setup</t>
        </is>
      </c>
      <c r="H23" s="17" t="inlineStr">
        <is>
          <t>SETUP-INTEGRATION</t>
        </is>
      </c>
      <c r="I23" s="19" t="n">
        <v>1500</v>
      </c>
      <c r="J23" s="20" t="n">
        <v>2</v>
      </c>
      <c r="K23" s="21" t="n">
        <v>0.05</v>
      </c>
      <c r="L23" s="19">
        <f>I23*J23</f>
        <v/>
      </c>
      <c r="M23" s="19">
        <f>L23*K23</f>
        <v/>
      </c>
      <c r="N23" s="19">
        <f>L23-M23</f>
        <v/>
      </c>
      <c r="O23" s="19" t="n">
        <v>650</v>
      </c>
      <c r="P23" s="19">
        <f>O23*J23</f>
        <v/>
      </c>
      <c r="Q23" s="19">
        <f>N23-P23</f>
        <v/>
      </c>
      <c r="R23" s="21">
        <f>Q23/N23</f>
        <v/>
      </c>
    </row>
    <row r="24">
      <c r="A24" s="9" t="inlineStr">
        <is>
          <t>TRX-2025-0023</t>
        </is>
      </c>
      <c r="B24" s="13" t="inlineStr">
        <is>
          <t>2025-04-25</t>
        </is>
      </c>
      <c r="C24" s="9" t="inlineStr">
        <is>
          <t>B2B Diretto</t>
        </is>
      </c>
      <c r="D24" s="9" t="inlineStr">
        <is>
          <t>Centro</t>
        </is>
      </c>
      <c r="E24" s="9" t="inlineStr">
        <is>
          <t>Marco Rossi</t>
        </is>
      </c>
      <c r="F24" s="9" t="inlineStr">
        <is>
          <t>Enterprise</t>
        </is>
      </c>
      <c r="G24" s="9" t="inlineStr">
        <is>
          <t>Hardware &amp; IoT</t>
        </is>
      </c>
      <c r="H24" s="9" t="inlineStr">
        <is>
          <t>GATEWAY-EDGE-PRO</t>
        </is>
      </c>
      <c r="I24" s="14" t="n">
        <v>890</v>
      </c>
      <c r="J24" s="15" t="n">
        <v>3</v>
      </c>
      <c r="K24" s="16" t="n">
        <v>0</v>
      </c>
      <c r="L24" s="14">
        <f>I24*J24</f>
        <v/>
      </c>
      <c r="M24" s="14">
        <f>L24*K24</f>
        <v/>
      </c>
      <c r="N24" s="14">
        <f>L24-M24</f>
        <v/>
      </c>
      <c r="O24" s="14" t="n">
        <v>520</v>
      </c>
      <c r="P24" s="14">
        <f>O24*J24</f>
        <v/>
      </c>
      <c r="Q24" s="14">
        <f>N24-P24</f>
        <v/>
      </c>
      <c r="R24" s="16">
        <f>Q24/N24</f>
        <v/>
      </c>
    </row>
    <row r="25">
      <c r="A25" s="17" t="inlineStr">
        <is>
          <t>TRX-2025-0024</t>
        </is>
      </c>
      <c r="B25" s="18" t="inlineStr">
        <is>
          <t>2025-10-27</t>
        </is>
      </c>
      <c r="C25" s="17" t="inlineStr">
        <is>
          <t>E-commerce</t>
        </is>
      </c>
      <c r="D25" s="17" t="inlineStr">
        <is>
          <t>Nord-Ovest</t>
        </is>
      </c>
      <c r="E25" s="17" t="inlineStr">
        <is>
          <t>Elena Conti</t>
        </is>
      </c>
      <c r="F25" s="17" t="inlineStr">
        <is>
          <t>Professionisti / SOHO</t>
        </is>
      </c>
      <c r="G25" s="17" t="inlineStr">
        <is>
          <t>Consulenza &amp; Setup</t>
        </is>
      </c>
      <c r="H25" s="17" t="inlineStr">
        <is>
          <t>SECURITY-AUDIT</t>
        </is>
      </c>
      <c r="I25" s="19" t="n">
        <v>2200</v>
      </c>
      <c r="J25" s="20" t="n">
        <v>1</v>
      </c>
      <c r="K25" s="21" t="n">
        <v>0.1</v>
      </c>
      <c r="L25" s="19">
        <f>I25*J25</f>
        <v/>
      </c>
      <c r="M25" s="19">
        <f>L25*K25</f>
        <v/>
      </c>
      <c r="N25" s="19">
        <f>L25-M25</f>
        <v/>
      </c>
      <c r="O25" s="19" t="n">
        <v>950</v>
      </c>
      <c r="P25" s="19">
        <f>O25*J25</f>
        <v/>
      </c>
      <c r="Q25" s="19">
        <f>N25-P25</f>
        <v/>
      </c>
      <c r="R25" s="21">
        <f>Q25/N25</f>
        <v/>
      </c>
    </row>
    <row r="26">
      <c r="A26" s="9" t="inlineStr">
        <is>
          <t>TRX-2025-0025</t>
        </is>
      </c>
      <c r="B26" s="13" t="inlineStr">
        <is>
          <t>2025-04-20</t>
        </is>
      </c>
      <c r="C26" s="9" t="inlineStr">
        <is>
          <t>Partner / Retailer</t>
        </is>
      </c>
      <c r="D26" s="9" t="inlineStr">
        <is>
          <t>Nord-Est</t>
        </is>
      </c>
      <c r="E26" s="9" t="inlineStr">
        <is>
          <t>Giulia Bianchi</t>
        </is>
      </c>
      <c r="F26" s="9" t="inlineStr">
        <is>
          <t>PMI</t>
        </is>
      </c>
      <c r="G26" s="9" t="inlineStr">
        <is>
          <t>Consulenza &amp; Setup</t>
        </is>
      </c>
      <c r="H26" s="9" t="inlineStr">
        <is>
          <t>TRAINING-ONBOARDING</t>
        </is>
      </c>
      <c r="I26" s="14" t="n">
        <v>800</v>
      </c>
      <c r="J26" s="15" t="n">
        <v>1</v>
      </c>
      <c r="K26" s="16" t="n">
        <v>0.05</v>
      </c>
      <c r="L26" s="14">
        <f>I26*J26</f>
        <v/>
      </c>
      <c r="M26" s="14">
        <f>L26*K26</f>
        <v/>
      </c>
      <c r="N26" s="14">
        <f>L26-M26</f>
        <v/>
      </c>
      <c r="O26" s="14" t="n">
        <v>350</v>
      </c>
      <c r="P26" s="14">
        <f>O26*J26</f>
        <v/>
      </c>
      <c r="Q26" s="14">
        <f>N26-P26</f>
        <v/>
      </c>
      <c r="R26" s="16">
        <f>Q26/N26</f>
        <v/>
      </c>
    </row>
    <row r="27">
      <c r="A27" s="17" t="inlineStr">
        <is>
          <t>TRX-2025-0026</t>
        </is>
      </c>
      <c r="B27" s="18" t="inlineStr">
        <is>
          <t>2025-07-02</t>
        </is>
      </c>
      <c r="C27" s="17" t="inlineStr">
        <is>
          <t>B2B Diretto</t>
        </is>
      </c>
      <c r="D27" s="17" t="inlineStr">
        <is>
          <t>Sud &amp; Isole</t>
        </is>
      </c>
      <c r="E27" s="17" t="inlineStr">
        <is>
          <t>Alessandro Riva</t>
        </is>
      </c>
      <c r="F27" s="17" t="inlineStr">
        <is>
          <t>Pubblica Amministrazione</t>
        </is>
      </c>
      <c r="G27" s="17" t="inlineStr">
        <is>
          <t>Consulenza &amp; Setup</t>
        </is>
      </c>
      <c r="H27" s="17" t="inlineStr">
        <is>
          <t>TRAINING-ONBOARDING</t>
        </is>
      </c>
      <c r="I27" s="19" t="n">
        <v>800</v>
      </c>
      <c r="J27" s="20" t="n">
        <v>2</v>
      </c>
      <c r="K27" s="21" t="n">
        <v>0.1</v>
      </c>
      <c r="L27" s="19">
        <f>I27*J27</f>
        <v/>
      </c>
      <c r="M27" s="19">
        <f>L27*K27</f>
        <v/>
      </c>
      <c r="N27" s="19">
        <f>L27-M27</f>
        <v/>
      </c>
      <c r="O27" s="19" t="n">
        <v>350</v>
      </c>
      <c r="P27" s="19">
        <f>O27*J27</f>
        <v/>
      </c>
      <c r="Q27" s="19">
        <f>N27-P27</f>
        <v/>
      </c>
      <c r="R27" s="21">
        <f>Q27/N27</f>
        <v/>
      </c>
    </row>
    <row r="28">
      <c r="A28" s="9" t="inlineStr">
        <is>
          <t>TRX-2026-0027</t>
        </is>
      </c>
      <c r="B28" s="13" t="inlineStr">
        <is>
          <t>2025-06-22</t>
        </is>
      </c>
      <c r="C28" s="9" t="inlineStr">
        <is>
          <t>B2B Diretto</t>
        </is>
      </c>
      <c r="D28" s="9" t="inlineStr">
        <is>
          <t>Nord-Est</t>
        </is>
      </c>
      <c r="E28" s="9" t="inlineStr">
        <is>
          <t>Marco Rossi</t>
        </is>
      </c>
      <c r="F28" s="9" t="inlineStr">
        <is>
          <t>PMI</t>
        </is>
      </c>
      <c r="G28" s="9" t="inlineStr">
        <is>
          <t>Consulenza &amp; Setup</t>
        </is>
      </c>
      <c r="H28" s="9" t="inlineStr">
        <is>
          <t>SECURITY-AUDIT</t>
        </is>
      </c>
      <c r="I28" s="14" t="n">
        <v>2200</v>
      </c>
      <c r="J28" s="15" t="n">
        <v>1</v>
      </c>
      <c r="K28" s="16" t="n">
        <v>0</v>
      </c>
      <c r="L28" s="14">
        <f>I28*J28</f>
        <v/>
      </c>
      <c r="M28" s="14">
        <f>L28*K28</f>
        <v/>
      </c>
      <c r="N28" s="14">
        <f>L28-M28</f>
        <v/>
      </c>
      <c r="O28" s="14" t="n">
        <v>950</v>
      </c>
      <c r="P28" s="14">
        <f>O28*J28</f>
        <v/>
      </c>
      <c r="Q28" s="14">
        <f>N28-P28</f>
        <v/>
      </c>
      <c r="R28" s="16">
        <f>Q28/N28</f>
        <v/>
      </c>
    </row>
    <row r="29">
      <c r="A29" s="17" t="inlineStr">
        <is>
          <t>TRX-2025-0028</t>
        </is>
      </c>
      <c r="B29" s="18" t="inlineStr">
        <is>
          <t>2026-05-18</t>
        </is>
      </c>
      <c r="C29" s="17" t="inlineStr">
        <is>
          <t>E-commerce</t>
        </is>
      </c>
      <c r="D29" s="17" t="inlineStr">
        <is>
          <t>Estero (EU)</t>
        </is>
      </c>
      <c r="E29" s="17" t="inlineStr">
        <is>
          <t>Giulia Bianchi</t>
        </is>
      </c>
      <c r="F29" s="17" t="inlineStr">
        <is>
          <t>Enterprise</t>
        </is>
      </c>
      <c r="G29" s="17" t="inlineStr">
        <is>
          <t>Consulenza &amp; Setup</t>
        </is>
      </c>
      <c r="H29" s="17" t="inlineStr">
        <is>
          <t>SECURITY-AUDIT</t>
        </is>
      </c>
      <c r="I29" s="19" t="n">
        <v>2200</v>
      </c>
      <c r="J29" s="20" t="n">
        <v>1</v>
      </c>
      <c r="K29" s="21" t="n">
        <v>0</v>
      </c>
      <c r="L29" s="19">
        <f>I29*J29</f>
        <v/>
      </c>
      <c r="M29" s="19">
        <f>L29*K29</f>
        <v/>
      </c>
      <c r="N29" s="19">
        <f>L29-M29</f>
        <v/>
      </c>
      <c r="O29" s="19" t="n">
        <v>950</v>
      </c>
      <c r="P29" s="19">
        <f>O29*J29</f>
        <v/>
      </c>
      <c r="Q29" s="19">
        <f>N29-P29</f>
        <v/>
      </c>
      <c r="R29" s="21">
        <f>Q29/N29</f>
        <v/>
      </c>
    </row>
    <row r="30">
      <c r="A30" s="9" t="inlineStr">
        <is>
          <t>TRX-2025-0029</t>
        </is>
      </c>
      <c r="B30" s="13" t="inlineStr">
        <is>
          <t>2025-09-12</t>
        </is>
      </c>
      <c r="C30" s="9" t="inlineStr">
        <is>
          <t>B2B Diretto</t>
        </is>
      </c>
      <c r="D30" s="9" t="inlineStr">
        <is>
          <t>Estero (EU)</t>
        </is>
      </c>
      <c r="E30" s="9" t="inlineStr">
        <is>
          <t>Giulia Bianchi</t>
        </is>
      </c>
      <c r="F30" s="9" t="inlineStr">
        <is>
          <t>PMI</t>
        </is>
      </c>
      <c r="G30" s="9" t="inlineStr">
        <is>
          <t>Cloud &amp; Software</t>
        </is>
      </c>
      <c r="H30" s="9" t="inlineStr">
        <is>
          <t>SaaS-PLATFORM-ENT</t>
        </is>
      </c>
      <c r="I30" s="14" t="n">
        <v>1200</v>
      </c>
      <c r="J30" s="15" t="n">
        <v>5</v>
      </c>
      <c r="K30" s="16" t="n">
        <v>0.05</v>
      </c>
      <c r="L30" s="14">
        <f>I30*J30</f>
        <v/>
      </c>
      <c r="M30" s="14">
        <f>L30*K30</f>
        <v/>
      </c>
      <c r="N30" s="14">
        <f>L30-M30</f>
        <v/>
      </c>
      <c r="O30" s="14" t="n">
        <v>320</v>
      </c>
      <c r="P30" s="14">
        <f>O30*J30</f>
        <v/>
      </c>
      <c r="Q30" s="14">
        <f>N30-P30</f>
        <v/>
      </c>
      <c r="R30" s="16">
        <f>Q30/N30</f>
        <v/>
      </c>
    </row>
    <row r="31">
      <c r="A31" s="17" t="inlineStr">
        <is>
          <t>TRX-2026-0030</t>
        </is>
      </c>
      <c r="B31" s="18" t="inlineStr">
        <is>
          <t>2025-10-09</t>
        </is>
      </c>
      <c r="C31" s="17" t="inlineStr">
        <is>
          <t>B2B Diretto</t>
        </is>
      </c>
      <c r="D31" s="17" t="inlineStr">
        <is>
          <t>Centro</t>
        </is>
      </c>
      <c r="E31" s="17" t="inlineStr">
        <is>
          <t>Giulia Bianchi</t>
        </is>
      </c>
      <c r="F31" s="17" t="inlineStr">
        <is>
          <t>Enterprise</t>
        </is>
      </c>
      <c r="G31" s="17" t="inlineStr">
        <is>
          <t>Cloud &amp; Software</t>
        </is>
      </c>
      <c r="H31" s="17" t="inlineStr">
        <is>
          <t>AI-AGENT-MODULE</t>
        </is>
      </c>
      <c r="I31" s="19" t="n">
        <v>750</v>
      </c>
      <c r="J31" s="20" t="n">
        <v>5</v>
      </c>
      <c r="K31" s="21" t="n">
        <v>0</v>
      </c>
      <c r="L31" s="19">
        <f>I31*J31</f>
        <v/>
      </c>
      <c r="M31" s="19">
        <f>L31*K31</f>
        <v/>
      </c>
      <c r="N31" s="19">
        <f>L31-M31</f>
        <v/>
      </c>
      <c r="O31" s="19" t="n">
        <v>180</v>
      </c>
      <c r="P31" s="19">
        <f>O31*J31</f>
        <v/>
      </c>
      <c r="Q31" s="19">
        <f>N31-P31</f>
        <v/>
      </c>
      <c r="R31" s="21">
        <f>Q31/N31</f>
        <v/>
      </c>
    </row>
    <row r="32">
      <c r="A32" s="9" t="inlineStr">
        <is>
          <t>TRX-2026-0031</t>
        </is>
      </c>
      <c r="B32" s="13" t="inlineStr">
        <is>
          <t>2025-03-30</t>
        </is>
      </c>
      <c r="C32" s="9" t="inlineStr">
        <is>
          <t>B2B Diretto</t>
        </is>
      </c>
      <c r="D32" s="9" t="inlineStr">
        <is>
          <t>Estero (EU)</t>
        </is>
      </c>
      <c r="E32" s="9" t="inlineStr">
        <is>
          <t>Roberto Moretti</t>
        </is>
      </c>
      <c r="F32" s="9" t="inlineStr">
        <is>
          <t>Pubblica Amministrazione</t>
        </is>
      </c>
      <c r="G32" s="9" t="inlineStr">
        <is>
          <t>Cloud &amp; Software</t>
        </is>
      </c>
      <c r="H32" s="9" t="inlineStr">
        <is>
          <t>SaaS-CORE-SMB</t>
        </is>
      </c>
      <c r="I32" s="14" t="n">
        <v>450</v>
      </c>
      <c r="J32" s="15" t="n">
        <v>3</v>
      </c>
      <c r="K32" s="16" t="n">
        <v>0.05</v>
      </c>
      <c r="L32" s="14">
        <f>I32*J32</f>
        <v/>
      </c>
      <c r="M32" s="14">
        <f>L32*K32</f>
        <v/>
      </c>
      <c r="N32" s="14">
        <f>L32-M32</f>
        <v/>
      </c>
      <c r="O32" s="14" t="n">
        <v>110</v>
      </c>
      <c r="P32" s="14">
        <f>O32*J32</f>
        <v/>
      </c>
      <c r="Q32" s="14">
        <f>N32-P32</f>
        <v/>
      </c>
      <c r="R32" s="16">
        <f>Q32/N32</f>
        <v/>
      </c>
    </row>
    <row r="33">
      <c r="A33" s="17" t="inlineStr">
        <is>
          <t>TRX-2025-0032</t>
        </is>
      </c>
      <c r="B33" s="18" t="inlineStr">
        <is>
          <t>2026-01-07</t>
        </is>
      </c>
      <c r="C33" s="17" t="inlineStr">
        <is>
          <t>Partner / Retailer</t>
        </is>
      </c>
      <c r="D33" s="17" t="inlineStr">
        <is>
          <t>Nord-Est</t>
        </is>
      </c>
      <c r="E33" s="17" t="inlineStr">
        <is>
          <t>Alessandro Riva</t>
        </is>
      </c>
      <c r="F33" s="17" t="inlineStr">
        <is>
          <t>Enterprise</t>
        </is>
      </c>
      <c r="G33" s="17" t="inlineStr">
        <is>
          <t>Consulenza &amp; Setup</t>
        </is>
      </c>
      <c r="H33" s="17" t="inlineStr">
        <is>
          <t>TRAINING-ONBOARDING</t>
        </is>
      </c>
      <c r="I33" s="19" t="n">
        <v>800</v>
      </c>
      <c r="J33" s="20" t="n">
        <v>8</v>
      </c>
      <c r="K33" s="21" t="n">
        <v>0.1</v>
      </c>
      <c r="L33" s="19">
        <f>I33*J33</f>
        <v/>
      </c>
      <c r="M33" s="19">
        <f>L33*K33</f>
        <v/>
      </c>
      <c r="N33" s="19">
        <f>L33-M33</f>
        <v/>
      </c>
      <c r="O33" s="19" t="n">
        <v>350</v>
      </c>
      <c r="P33" s="19">
        <f>O33*J33</f>
        <v/>
      </c>
      <c r="Q33" s="19">
        <f>N33-P33</f>
        <v/>
      </c>
      <c r="R33" s="21">
        <f>Q33/N33</f>
        <v/>
      </c>
    </row>
    <row r="34">
      <c r="A34" s="9" t="inlineStr">
        <is>
          <t>TRX-2025-0033</t>
        </is>
      </c>
      <c r="B34" s="13" t="inlineStr">
        <is>
          <t>2026-08-05</t>
        </is>
      </c>
      <c r="C34" s="9" t="inlineStr">
        <is>
          <t>B2B Diretto</t>
        </is>
      </c>
      <c r="D34" s="9" t="inlineStr">
        <is>
          <t>Nord-Ovest</t>
        </is>
      </c>
      <c r="E34" s="9" t="inlineStr">
        <is>
          <t>Giulia Bianchi</t>
        </is>
      </c>
      <c r="F34" s="9" t="inlineStr">
        <is>
          <t>Enterprise</t>
        </is>
      </c>
      <c r="G34" s="9" t="inlineStr">
        <is>
          <t>Cloud &amp; Software</t>
        </is>
      </c>
      <c r="H34" s="9" t="inlineStr">
        <is>
          <t>SaaS-CORE-SMB</t>
        </is>
      </c>
      <c r="I34" s="14" t="n">
        <v>450</v>
      </c>
      <c r="J34" s="15" t="n">
        <v>5</v>
      </c>
      <c r="K34" s="16" t="n">
        <v>0</v>
      </c>
      <c r="L34" s="14">
        <f>I34*J34</f>
        <v/>
      </c>
      <c r="M34" s="14">
        <f>L34*K34</f>
        <v/>
      </c>
      <c r="N34" s="14">
        <f>L34-M34</f>
        <v/>
      </c>
      <c r="O34" s="14" t="n">
        <v>110</v>
      </c>
      <c r="P34" s="14">
        <f>O34*J34</f>
        <v/>
      </c>
      <c r="Q34" s="14">
        <f>N34-P34</f>
        <v/>
      </c>
      <c r="R34" s="16">
        <f>Q34/N34</f>
        <v/>
      </c>
    </row>
    <row r="35">
      <c r="A35" s="17" t="inlineStr">
        <is>
          <t>TRX-2026-0034</t>
        </is>
      </c>
      <c r="B35" s="18" t="inlineStr">
        <is>
          <t>2025-08-18</t>
        </is>
      </c>
      <c r="C35" s="17" t="inlineStr">
        <is>
          <t>E-commerce</t>
        </is>
      </c>
      <c r="D35" s="17" t="inlineStr">
        <is>
          <t>Nord-Est</t>
        </is>
      </c>
      <c r="E35" s="17" t="inlineStr">
        <is>
          <t>Alessandro Riva</t>
        </is>
      </c>
      <c r="F35" s="17" t="inlineStr">
        <is>
          <t>PMI</t>
        </is>
      </c>
      <c r="G35" s="17" t="inlineStr">
        <is>
          <t>Hardware &amp; IoT</t>
        </is>
      </c>
      <c r="H35" s="17" t="inlineStr">
        <is>
          <t>SENSOR-IOT-PACK</t>
        </is>
      </c>
      <c r="I35" s="19" t="n">
        <v>290</v>
      </c>
      <c r="J35" s="20" t="n">
        <v>10</v>
      </c>
      <c r="K35" s="21" t="n">
        <v>0.1</v>
      </c>
      <c r="L35" s="19">
        <f>I35*J35</f>
        <v/>
      </c>
      <c r="M35" s="19">
        <f>L35*K35</f>
        <v/>
      </c>
      <c r="N35" s="19">
        <f>L35-M35</f>
        <v/>
      </c>
      <c r="O35" s="19" t="n">
        <v>140</v>
      </c>
      <c r="P35" s="19">
        <f>O35*J35</f>
        <v/>
      </c>
      <c r="Q35" s="19">
        <f>N35-P35</f>
        <v/>
      </c>
      <c r="R35" s="21">
        <f>Q35/N35</f>
        <v/>
      </c>
    </row>
    <row r="36">
      <c r="A36" s="9" t="inlineStr">
        <is>
          <t>TRX-2025-0035</t>
        </is>
      </c>
      <c r="B36" s="13" t="inlineStr">
        <is>
          <t>2026-03-24</t>
        </is>
      </c>
      <c r="C36" s="9" t="inlineStr">
        <is>
          <t>Partner / Retailer</t>
        </is>
      </c>
      <c r="D36" s="9" t="inlineStr">
        <is>
          <t>Nord-Ovest</t>
        </is>
      </c>
      <c r="E36" s="9" t="inlineStr">
        <is>
          <t>Marco Rossi</t>
        </is>
      </c>
      <c r="F36" s="9" t="inlineStr">
        <is>
          <t>Enterprise</t>
        </is>
      </c>
      <c r="G36" s="9" t="inlineStr">
        <is>
          <t>Cloud &amp; Software</t>
        </is>
      </c>
      <c r="H36" s="9" t="inlineStr">
        <is>
          <t>AI-AGENT-MODULE</t>
        </is>
      </c>
      <c r="I36" s="14" t="n">
        <v>750</v>
      </c>
      <c r="J36" s="15" t="n">
        <v>5</v>
      </c>
      <c r="K36" s="16" t="n">
        <v>0</v>
      </c>
      <c r="L36" s="14">
        <f>I36*J36</f>
        <v/>
      </c>
      <c r="M36" s="14">
        <f>L36*K36</f>
        <v/>
      </c>
      <c r="N36" s="14">
        <f>L36-M36</f>
        <v/>
      </c>
      <c r="O36" s="14" t="n">
        <v>180</v>
      </c>
      <c r="P36" s="14">
        <f>O36*J36</f>
        <v/>
      </c>
      <c r="Q36" s="14">
        <f>N36-P36</f>
        <v/>
      </c>
      <c r="R36" s="16">
        <f>Q36/N36</f>
        <v/>
      </c>
    </row>
    <row r="37">
      <c r="A37" s="17" t="inlineStr">
        <is>
          <t>TRX-2026-0036</t>
        </is>
      </c>
      <c r="B37" s="18" t="inlineStr">
        <is>
          <t>2026-08-02</t>
        </is>
      </c>
      <c r="C37" s="17" t="inlineStr">
        <is>
          <t>E-commerce</t>
        </is>
      </c>
      <c r="D37" s="17" t="inlineStr">
        <is>
          <t>Estero (EU)</t>
        </is>
      </c>
      <c r="E37" s="17" t="inlineStr">
        <is>
          <t>Marco Rossi</t>
        </is>
      </c>
      <c r="F37" s="17" t="inlineStr">
        <is>
          <t>Enterprise</t>
        </is>
      </c>
      <c r="G37" s="17" t="inlineStr">
        <is>
          <t>Cloud &amp; Software</t>
        </is>
      </c>
      <c r="H37" s="17" t="inlineStr">
        <is>
          <t>AI-AGENT-MODULE</t>
        </is>
      </c>
      <c r="I37" s="19" t="n">
        <v>750</v>
      </c>
      <c r="J37" s="20" t="n">
        <v>3</v>
      </c>
      <c r="K37" s="21" t="n">
        <v>0.1</v>
      </c>
      <c r="L37" s="19">
        <f>I37*J37</f>
        <v/>
      </c>
      <c r="M37" s="19">
        <f>L37*K37</f>
        <v/>
      </c>
      <c r="N37" s="19">
        <f>L37-M37</f>
        <v/>
      </c>
      <c r="O37" s="19" t="n">
        <v>180</v>
      </c>
      <c r="P37" s="19">
        <f>O37*J37</f>
        <v/>
      </c>
      <c r="Q37" s="19">
        <f>N37-P37</f>
        <v/>
      </c>
      <c r="R37" s="21">
        <f>Q37/N37</f>
        <v/>
      </c>
    </row>
    <row r="38">
      <c r="A38" s="9" t="inlineStr">
        <is>
          <t>TRX-2025-0037</t>
        </is>
      </c>
      <c r="B38" s="13" t="inlineStr">
        <is>
          <t>2026-03-31</t>
        </is>
      </c>
      <c r="C38" s="9" t="inlineStr">
        <is>
          <t>B2B Diretto</t>
        </is>
      </c>
      <c r="D38" s="9" t="inlineStr">
        <is>
          <t>Centro</t>
        </is>
      </c>
      <c r="E38" s="9" t="inlineStr">
        <is>
          <t>Alessandro Riva</t>
        </is>
      </c>
      <c r="F38" s="9" t="inlineStr">
        <is>
          <t>Professionisti / SOHO</t>
        </is>
      </c>
      <c r="G38" s="9" t="inlineStr">
        <is>
          <t>Cloud &amp; Software</t>
        </is>
      </c>
      <c r="H38" s="9" t="inlineStr">
        <is>
          <t>SaaS-PLATFORM-ENT</t>
        </is>
      </c>
      <c r="I38" s="14" t="n">
        <v>1200</v>
      </c>
      <c r="J38" s="15" t="n">
        <v>10</v>
      </c>
      <c r="K38" s="16" t="n">
        <v>0</v>
      </c>
      <c r="L38" s="14">
        <f>I38*J38</f>
        <v/>
      </c>
      <c r="M38" s="14">
        <f>L38*K38</f>
        <v/>
      </c>
      <c r="N38" s="14">
        <f>L38-M38</f>
        <v/>
      </c>
      <c r="O38" s="14" t="n">
        <v>320</v>
      </c>
      <c r="P38" s="14">
        <f>O38*J38</f>
        <v/>
      </c>
      <c r="Q38" s="14">
        <f>N38-P38</f>
        <v/>
      </c>
      <c r="R38" s="16">
        <f>Q38/N38</f>
        <v/>
      </c>
    </row>
    <row r="39">
      <c r="A39" s="17" t="inlineStr">
        <is>
          <t>TRX-2025-0038</t>
        </is>
      </c>
      <c r="B39" s="18" t="inlineStr">
        <is>
          <t>2025-04-30</t>
        </is>
      </c>
      <c r="C39" s="17" t="inlineStr">
        <is>
          <t>B2B Diretto</t>
        </is>
      </c>
      <c r="D39" s="17" t="inlineStr">
        <is>
          <t>Estero (EU)</t>
        </is>
      </c>
      <c r="E39" s="17" t="inlineStr">
        <is>
          <t>Elena Conti</t>
        </is>
      </c>
      <c r="F39" s="17" t="inlineStr">
        <is>
          <t>Pubblica Amministrazione</t>
        </is>
      </c>
      <c r="G39" s="17" t="inlineStr">
        <is>
          <t>Cloud &amp; Software</t>
        </is>
      </c>
      <c r="H39" s="17" t="inlineStr">
        <is>
          <t>AI-AGENT-MODULE</t>
        </is>
      </c>
      <c r="I39" s="19" t="n">
        <v>750</v>
      </c>
      <c r="J39" s="20" t="n">
        <v>10</v>
      </c>
      <c r="K39" s="21" t="n">
        <v>0</v>
      </c>
      <c r="L39" s="19">
        <f>I39*J39</f>
        <v/>
      </c>
      <c r="M39" s="19">
        <f>L39*K39</f>
        <v/>
      </c>
      <c r="N39" s="19">
        <f>L39-M39</f>
        <v/>
      </c>
      <c r="O39" s="19" t="n">
        <v>180</v>
      </c>
      <c r="P39" s="19">
        <f>O39*J39</f>
        <v/>
      </c>
      <c r="Q39" s="19">
        <f>N39-P39</f>
        <v/>
      </c>
      <c r="R39" s="21">
        <f>Q39/N39</f>
        <v/>
      </c>
    </row>
    <row r="40">
      <c r="A40" s="9" t="inlineStr">
        <is>
          <t>TRX-2025-0039</t>
        </is>
      </c>
      <c r="B40" s="13" t="inlineStr">
        <is>
          <t>2025-07-15</t>
        </is>
      </c>
      <c r="C40" s="9" t="inlineStr">
        <is>
          <t>Partner / Retailer</t>
        </is>
      </c>
      <c r="D40" s="9" t="inlineStr">
        <is>
          <t>Nord-Ovest</t>
        </is>
      </c>
      <c r="E40" s="9" t="inlineStr">
        <is>
          <t>Giulia Bianchi</t>
        </is>
      </c>
      <c r="F40" s="9" t="inlineStr">
        <is>
          <t>PMI</t>
        </is>
      </c>
      <c r="G40" s="9" t="inlineStr">
        <is>
          <t>Hardware &amp; IoT</t>
        </is>
      </c>
      <c r="H40" s="9" t="inlineStr">
        <is>
          <t>TERMINAL-SMART-V2</t>
        </is>
      </c>
      <c r="I40" s="14" t="n">
        <v>640</v>
      </c>
      <c r="J40" s="15" t="n">
        <v>8</v>
      </c>
      <c r="K40" s="16" t="n">
        <v>0.05</v>
      </c>
      <c r="L40" s="14">
        <f>I40*J40</f>
        <v/>
      </c>
      <c r="M40" s="14">
        <f>L40*K40</f>
        <v/>
      </c>
      <c r="N40" s="14">
        <f>L40-M40</f>
        <v/>
      </c>
      <c r="O40" s="14" t="n">
        <v>380</v>
      </c>
      <c r="P40" s="14">
        <f>O40*J40</f>
        <v/>
      </c>
      <c r="Q40" s="14">
        <f>N40-P40</f>
        <v/>
      </c>
      <c r="R40" s="16">
        <f>Q40/N40</f>
        <v/>
      </c>
    </row>
    <row r="41">
      <c r="A41" s="17" t="inlineStr">
        <is>
          <t>TRX-2025-0040</t>
        </is>
      </c>
      <c r="B41" s="18" t="inlineStr">
        <is>
          <t>2025-10-15</t>
        </is>
      </c>
      <c r="C41" s="17" t="inlineStr">
        <is>
          <t>B2B Diretto</t>
        </is>
      </c>
      <c r="D41" s="17" t="inlineStr">
        <is>
          <t>Nord-Ovest</t>
        </is>
      </c>
      <c r="E41" s="17" t="inlineStr">
        <is>
          <t>Elena Conti</t>
        </is>
      </c>
      <c r="F41" s="17" t="inlineStr">
        <is>
          <t>Professionisti / SOHO</t>
        </is>
      </c>
      <c r="G41" s="17" t="inlineStr">
        <is>
          <t>Consulenza &amp; Setup</t>
        </is>
      </c>
      <c r="H41" s="17" t="inlineStr">
        <is>
          <t>TRAINING-ONBOARDING</t>
        </is>
      </c>
      <c r="I41" s="19" t="n">
        <v>800</v>
      </c>
      <c r="J41" s="20" t="n">
        <v>1</v>
      </c>
      <c r="K41" s="21" t="n">
        <v>0.1</v>
      </c>
      <c r="L41" s="19">
        <f>I41*J41</f>
        <v/>
      </c>
      <c r="M41" s="19">
        <f>L41*K41</f>
        <v/>
      </c>
      <c r="N41" s="19">
        <f>L41-M41</f>
        <v/>
      </c>
      <c r="O41" s="19" t="n">
        <v>350</v>
      </c>
      <c r="P41" s="19">
        <f>O41*J41</f>
        <v/>
      </c>
      <c r="Q41" s="19">
        <f>N41-P41</f>
        <v/>
      </c>
      <c r="R41" s="21">
        <f>Q41/N41</f>
        <v/>
      </c>
    </row>
    <row r="42">
      <c r="A42" s="9" t="inlineStr">
        <is>
          <t>TRX-2026-0041</t>
        </is>
      </c>
      <c r="B42" s="13" t="inlineStr">
        <is>
          <t>2026-01-08</t>
        </is>
      </c>
      <c r="C42" s="9" t="inlineStr">
        <is>
          <t>B2B Diretto</t>
        </is>
      </c>
      <c r="D42" s="9" t="inlineStr">
        <is>
          <t>Nord-Est</t>
        </is>
      </c>
      <c r="E42" s="9" t="inlineStr">
        <is>
          <t>Giulia Bianchi</t>
        </is>
      </c>
      <c r="F42" s="9" t="inlineStr">
        <is>
          <t>Enterprise</t>
        </is>
      </c>
      <c r="G42" s="9" t="inlineStr">
        <is>
          <t>Hardware &amp; IoT</t>
        </is>
      </c>
      <c r="H42" s="9" t="inlineStr">
        <is>
          <t>GATEWAY-EDGE-PRO</t>
        </is>
      </c>
      <c r="I42" s="14" t="n">
        <v>890</v>
      </c>
      <c r="J42" s="15" t="n">
        <v>2</v>
      </c>
      <c r="K42" s="16" t="n">
        <v>0</v>
      </c>
      <c r="L42" s="14">
        <f>I42*J42</f>
        <v/>
      </c>
      <c r="M42" s="14">
        <f>L42*K42</f>
        <v/>
      </c>
      <c r="N42" s="14">
        <f>L42-M42</f>
        <v/>
      </c>
      <c r="O42" s="14" t="n">
        <v>520</v>
      </c>
      <c r="P42" s="14">
        <f>O42*J42</f>
        <v/>
      </c>
      <c r="Q42" s="14">
        <f>N42-P42</f>
        <v/>
      </c>
      <c r="R42" s="16">
        <f>Q42/N42</f>
        <v/>
      </c>
    </row>
    <row r="43">
      <c r="A43" s="17" t="inlineStr">
        <is>
          <t>TRX-2025-0042</t>
        </is>
      </c>
      <c r="B43" s="18" t="inlineStr">
        <is>
          <t>2025-10-27</t>
        </is>
      </c>
      <c r="C43" s="17" t="inlineStr">
        <is>
          <t>B2B Diretto</t>
        </is>
      </c>
      <c r="D43" s="17" t="inlineStr">
        <is>
          <t>Estero (EU)</t>
        </is>
      </c>
      <c r="E43" s="17" t="inlineStr">
        <is>
          <t>Elena Conti</t>
        </is>
      </c>
      <c r="F43" s="17" t="inlineStr">
        <is>
          <t>PMI</t>
        </is>
      </c>
      <c r="G43" s="17" t="inlineStr">
        <is>
          <t>Consulenza &amp; Setup</t>
        </is>
      </c>
      <c r="H43" s="17" t="inlineStr">
        <is>
          <t>SECURITY-AUDIT</t>
        </is>
      </c>
      <c r="I43" s="19" t="n">
        <v>2200</v>
      </c>
      <c r="J43" s="20" t="n">
        <v>2</v>
      </c>
      <c r="K43" s="21" t="n">
        <v>0</v>
      </c>
      <c r="L43" s="19">
        <f>I43*J43</f>
        <v/>
      </c>
      <c r="M43" s="19">
        <f>L43*K43</f>
        <v/>
      </c>
      <c r="N43" s="19">
        <f>L43-M43</f>
        <v/>
      </c>
      <c r="O43" s="19" t="n">
        <v>950</v>
      </c>
      <c r="P43" s="19">
        <f>O43*J43</f>
        <v/>
      </c>
      <c r="Q43" s="19">
        <f>N43-P43</f>
        <v/>
      </c>
      <c r="R43" s="21">
        <f>Q43/N43</f>
        <v/>
      </c>
    </row>
    <row r="44">
      <c r="A44" s="9" t="inlineStr">
        <is>
          <t>TRX-2026-0043</t>
        </is>
      </c>
      <c r="B44" s="13" t="inlineStr">
        <is>
          <t>2025-07-16</t>
        </is>
      </c>
      <c r="C44" s="9" t="inlineStr">
        <is>
          <t>E-commerce</t>
        </is>
      </c>
      <c r="D44" s="9" t="inlineStr">
        <is>
          <t>Centro</t>
        </is>
      </c>
      <c r="E44" s="9" t="inlineStr">
        <is>
          <t>Marco Rossi</t>
        </is>
      </c>
      <c r="F44" s="9" t="inlineStr">
        <is>
          <t>Enterprise</t>
        </is>
      </c>
      <c r="G44" s="9" t="inlineStr">
        <is>
          <t>Consulenza &amp; Setup</t>
        </is>
      </c>
      <c r="H44" s="9" t="inlineStr">
        <is>
          <t>SETUP-INTEGRATION</t>
        </is>
      </c>
      <c r="I44" s="14" t="n">
        <v>1500</v>
      </c>
      <c r="J44" s="15" t="n">
        <v>2</v>
      </c>
      <c r="K44" s="16" t="n">
        <v>0.1</v>
      </c>
      <c r="L44" s="14">
        <f>I44*J44</f>
        <v/>
      </c>
      <c r="M44" s="14">
        <f>L44*K44</f>
        <v/>
      </c>
      <c r="N44" s="14">
        <f>L44-M44</f>
        <v/>
      </c>
      <c r="O44" s="14" t="n">
        <v>650</v>
      </c>
      <c r="P44" s="14">
        <f>O44*J44</f>
        <v/>
      </c>
      <c r="Q44" s="14">
        <f>N44-P44</f>
        <v/>
      </c>
      <c r="R44" s="16">
        <f>Q44/N44</f>
        <v/>
      </c>
    </row>
    <row r="45">
      <c r="A45" s="17" t="inlineStr">
        <is>
          <t>TRX-2026-0044</t>
        </is>
      </c>
      <c r="B45" s="18" t="inlineStr">
        <is>
          <t>2026-06-22</t>
        </is>
      </c>
      <c r="C45" s="17" t="inlineStr">
        <is>
          <t>B2B Diretto</t>
        </is>
      </c>
      <c r="D45" s="17" t="inlineStr">
        <is>
          <t>Estero (EU)</t>
        </is>
      </c>
      <c r="E45" s="17" t="inlineStr">
        <is>
          <t>Giulia Bianchi</t>
        </is>
      </c>
      <c r="F45" s="17" t="inlineStr">
        <is>
          <t>Enterprise</t>
        </is>
      </c>
      <c r="G45" s="17" t="inlineStr">
        <is>
          <t>Consulenza &amp; Setup</t>
        </is>
      </c>
      <c r="H45" s="17" t="inlineStr">
        <is>
          <t>SETUP-INTEGRATION</t>
        </is>
      </c>
      <c r="I45" s="19" t="n">
        <v>1500</v>
      </c>
      <c r="J45" s="20" t="n">
        <v>1</v>
      </c>
      <c r="K45" s="21" t="n">
        <v>0.15</v>
      </c>
      <c r="L45" s="19">
        <f>I45*J45</f>
        <v/>
      </c>
      <c r="M45" s="19">
        <f>L45*K45</f>
        <v/>
      </c>
      <c r="N45" s="19">
        <f>L45-M45</f>
        <v/>
      </c>
      <c r="O45" s="19" t="n">
        <v>650</v>
      </c>
      <c r="P45" s="19">
        <f>O45*J45</f>
        <v/>
      </c>
      <c r="Q45" s="19">
        <f>N45-P45</f>
        <v/>
      </c>
      <c r="R45" s="21">
        <f>Q45/N45</f>
        <v/>
      </c>
    </row>
    <row r="46">
      <c r="A46" s="9" t="inlineStr">
        <is>
          <t>TRX-2025-0045</t>
        </is>
      </c>
      <c r="B46" s="13" t="inlineStr">
        <is>
          <t>2026-01-22</t>
        </is>
      </c>
      <c r="C46" s="9" t="inlineStr">
        <is>
          <t>B2B Diretto</t>
        </is>
      </c>
      <c r="D46" s="9" t="inlineStr">
        <is>
          <t>Centro</t>
        </is>
      </c>
      <c r="E46" s="9" t="inlineStr">
        <is>
          <t>Roberto Moretti</t>
        </is>
      </c>
      <c r="F46" s="9" t="inlineStr">
        <is>
          <t>Enterprise</t>
        </is>
      </c>
      <c r="G46" s="9" t="inlineStr">
        <is>
          <t>Cloud &amp; Software</t>
        </is>
      </c>
      <c r="H46" s="9" t="inlineStr">
        <is>
          <t>SaaS-CORE-SMB</t>
        </is>
      </c>
      <c r="I46" s="14" t="n">
        <v>450</v>
      </c>
      <c r="J46" s="15" t="n">
        <v>5</v>
      </c>
      <c r="K46" s="16" t="n">
        <v>0</v>
      </c>
      <c r="L46" s="14">
        <f>I46*J46</f>
        <v/>
      </c>
      <c r="M46" s="14">
        <f>L46*K46</f>
        <v/>
      </c>
      <c r="N46" s="14">
        <f>L46-M46</f>
        <v/>
      </c>
      <c r="O46" s="14" t="n">
        <v>110</v>
      </c>
      <c r="P46" s="14">
        <f>O46*J46</f>
        <v/>
      </c>
      <c r="Q46" s="14">
        <f>N46-P46</f>
        <v/>
      </c>
      <c r="R46" s="16">
        <f>Q46/N46</f>
        <v/>
      </c>
    </row>
    <row r="47">
      <c r="A47" s="17" t="inlineStr">
        <is>
          <t>TRX-2026-0046</t>
        </is>
      </c>
      <c r="B47" s="18" t="inlineStr">
        <is>
          <t>2026-03-09</t>
        </is>
      </c>
      <c r="C47" s="17" t="inlineStr">
        <is>
          <t>B2B Diretto</t>
        </is>
      </c>
      <c r="D47" s="17" t="inlineStr">
        <is>
          <t>Centro</t>
        </is>
      </c>
      <c r="E47" s="17" t="inlineStr">
        <is>
          <t>Roberto Moretti</t>
        </is>
      </c>
      <c r="F47" s="17" t="inlineStr">
        <is>
          <t>Enterprise</t>
        </is>
      </c>
      <c r="G47" s="17" t="inlineStr">
        <is>
          <t>Consulenza &amp; Setup</t>
        </is>
      </c>
      <c r="H47" s="17" t="inlineStr">
        <is>
          <t>SETUP-INTEGRATION</t>
        </is>
      </c>
      <c r="I47" s="19" t="n">
        <v>1500</v>
      </c>
      <c r="J47" s="20" t="n">
        <v>5</v>
      </c>
      <c r="K47" s="21" t="n">
        <v>0</v>
      </c>
      <c r="L47" s="19">
        <f>I47*J47</f>
        <v/>
      </c>
      <c r="M47" s="19">
        <f>L47*K47</f>
        <v/>
      </c>
      <c r="N47" s="19">
        <f>L47-M47</f>
        <v/>
      </c>
      <c r="O47" s="19" t="n">
        <v>650</v>
      </c>
      <c r="P47" s="19">
        <f>O47*J47</f>
        <v/>
      </c>
      <c r="Q47" s="19">
        <f>N47-P47</f>
        <v/>
      </c>
      <c r="R47" s="21">
        <f>Q47/N47</f>
        <v/>
      </c>
    </row>
    <row r="48">
      <c r="A48" s="9" t="inlineStr">
        <is>
          <t>TRX-2025-0047</t>
        </is>
      </c>
      <c r="B48" s="13" t="inlineStr">
        <is>
          <t>2026-08-20</t>
        </is>
      </c>
      <c r="C48" s="9" t="inlineStr">
        <is>
          <t>B2B Diretto</t>
        </is>
      </c>
      <c r="D48" s="9" t="inlineStr">
        <is>
          <t>Estero (EU)</t>
        </is>
      </c>
      <c r="E48" s="9" t="inlineStr">
        <is>
          <t>Marco Rossi</t>
        </is>
      </c>
      <c r="F48" s="9" t="inlineStr">
        <is>
          <t>Enterprise</t>
        </is>
      </c>
      <c r="G48" s="9" t="inlineStr">
        <is>
          <t>Hardware &amp; IoT</t>
        </is>
      </c>
      <c r="H48" s="9" t="inlineStr">
        <is>
          <t>GATEWAY-EDGE-PRO</t>
        </is>
      </c>
      <c r="I48" s="14" t="n">
        <v>890</v>
      </c>
      <c r="J48" s="15" t="n">
        <v>2</v>
      </c>
      <c r="K48" s="16" t="n">
        <v>0.05</v>
      </c>
      <c r="L48" s="14">
        <f>I48*J48</f>
        <v/>
      </c>
      <c r="M48" s="14">
        <f>L48*K48</f>
        <v/>
      </c>
      <c r="N48" s="14">
        <f>L48-M48</f>
        <v/>
      </c>
      <c r="O48" s="14" t="n">
        <v>520</v>
      </c>
      <c r="P48" s="14">
        <f>O48*J48</f>
        <v/>
      </c>
      <c r="Q48" s="14">
        <f>N48-P48</f>
        <v/>
      </c>
      <c r="R48" s="16">
        <f>Q48/N48</f>
        <v/>
      </c>
    </row>
    <row r="49">
      <c r="A49" s="17" t="inlineStr">
        <is>
          <t>TRX-2026-0048</t>
        </is>
      </c>
      <c r="B49" s="18" t="inlineStr">
        <is>
          <t>2026-05-06</t>
        </is>
      </c>
      <c r="C49" s="17" t="inlineStr">
        <is>
          <t>B2B Diretto</t>
        </is>
      </c>
      <c r="D49" s="17" t="inlineStr">
        <is>
          <t>Nord-Est</t>
        </is>
      </c>
      <c r="E49" s="17" t="inlineStr">
        <is>
          <t>Roberto Moretti</t>
        </is>
      </c>
      <c r="F49" s="17" t="inlineStr">
        <is>
          <t>PMI</t>
        </is>
      </c>
      <c r="G49" s="17" t="inlineStr">
        <is>
          <t>Cloud &amp; Software</t>
        </is>
      </c>
      <c r="H49" s="17" t="inlineStr">
        <is>
          <t>AI-AGENT-MODULE</t>
        </is>
      </c>
      <c r="I49" s="19" t="n">
        <v>750</v>
      </c>
      <c r="J49" s="20" t="n">
        <v>5</v>
      </c>
      <c r="K49" s="21" t="n">
        <v>0</v>
      </c>
      <c r="L49" s="19">
        <f>I49*J49</f>
        <v/>
      </c>
      <c r="M49" s="19">
        <f>L49*K49</f>
        <v/>
      </c>
      <c r="N49" s="19">
        <f>L49-M49</f>
        <v/>
      </c>
      <c r="O49" s="19" t="n">
        <v>180</v>
      </c>
      <c r="P49" s="19">
        <f>O49*J49</f>
        <v/>
      </c>
      <c r="Q49" s="19">
        <f>N49-P49</f>
        <v/>
      </c>
      <c r="R49" s="21">
        <f>Q49/N49</f>
        <v/>
      </c>
    </row>
    <row r="50">
      <c r="A50" s="9" t="inlineStr">
        <is>
          <t>TRX-2026-0049</t>
        </is>
      </c>
      <c r="B50" s="13" t="inlineStr">
        <is>
          <t>2025-04-20</t>
        </is>
      </c>
      <c r="C50" s="9" t="inlineStr">
        <is>
          <t>Partner / Retailer</t>
        </is>
      </c>
      <c r="D50" s="9" t="inlineStr">
        <is>
          <t>Nord-Est</t>
        </is>
      </c>
      <c r="E50" s="9" t="inlineStr">
        <is>
          <t>Alessandro Riva</t>
        </is>
      </c>
      <c r="F50" s="9" t="inlineStr">
        <is>
          <t>Enterprise</t>
        </is>
      </c>
      <c r="G50" s="9" t="inlineStr">
        <is>
          <t>Hardware &amp; IoT</t>
        </is>
      </c>
      <c r="H50" s="9" t="inlineStr">
        <is>
          <t>GATEWAY-EDGE-PRO</t>
        </is>
      </c>
      <c r="I50" s="14" t="n">
        <v>890</v>
      </c>
      <c r="J50" s="15" t="n">
        <v>1</v>
      </c>
      <c r="K50" s="16" t="n">
        <v>0</v>
      </c>
      <c r="L50" s="14">
        <f>I50*J50</f>
        <v/>
      </c>
      <c r="M50" s="14">
        <f>L50*K50</f>
        <v/>
      </c>
      <c r="N50" s="14">
        <f>L50-M50</f>
        <v/>
      </c>
      <c r="O50" s="14" t="n">
        <v>520</v>
      </c>
      <c r="P50" s="14">
        <f>O50*J50</f>
        <v/>
      </c>
      <c r="Q50" s="14">
        <f>N50-P50</f>
        <v/>
      </c>
      <c r="R50" s="16">
        <f>Q50/N50</f>
        <v/>
      </c>
    </row>
    <row r="51">
      <c r="A51" s="17" t="inlineStr">
        <is>
          <t>TRX-2026-0050</t>
        </is>
      </c>
      <c r="B51" s="18" t="inlineStr">
        <is>
          <t>2025-03-30</t>
        </is>
      </c>
      <c r="C51" s="17" t="inlineStr">
        <is>
          <t>E-commerce</t>
        </is>
      </c>
      <c r="D51" s="17" t="inlineStr">
        <is>
          <t>Estero (EU)</t>
        </is>
      </c>
      <c r="E51" s="17" t="inlineStr">
        <is>
          <t>Giulia Bianchi</t>
        </is>
      </c>
      <c r="F51" s="17" t="inlineStr">
        <is>
          <t>PMI</t>
        </is>
      </c>
      <c r="G51" s="17" t="inlineStr">
        <is>
          <t>Consulenza &amp; Setup</t>
        </is>
      </c>
      <c r="H51" s="17" t="inlineStr">
        <is>
          <t>SETUP-INTEGRATION</t>
        </is>
      </c>
      <c r="I51" s="19" t="n">
        <v>1500</v>
      </c>
      <c r="J51" s="20" t="n">
        <v>3</v>
      </c>
      <c r="K51" s="21" t="n">
        <v>0</v>
      </c>
      <c r="L51" s="19">
        <f>I51*J51</f>
        <v/>
      </c>
      <c r="M51" s="19">
        <f>L51*K51</f>
        <v/>
      </c>
      <c r="N51" s="19">
        <f>L51-M51</f>
        <v/>
      </c>
      <c r="O51" s="19" t="n">
        <v>650</v>
      </c>
      <c r="P51" s="19">
        <f>O51*J51</f>
        <v/>
      </c>
      <c r="Q51" s="19">
        <f>N51-P51</f>
        <v/>
      </c>
      <c r="R51" s="21">
        <f>Q51/N51</f>
        <v/>
      </c>
    </row>
    <row r="52">
      <c r="A52" s="9" t="inlineStr">
        <is>
          <t>TRX-2025-0051</t>
        </is>
      </c>
      <c r="B52" s="13" t="inlineStr">
        <is>
          <t>2025-05-04</t>
        </is>
      </c>
      <c r="C52" s="9" t="inlineStr">
        <is>
          <t>E-commerce</t>
        </is>
      </c>
      <c r="D52" s="9" t="inlineStr">
        <is>
          <t>Nord-Est</t>
        </is>
      </c>
      <c r="E52" s="9" t="inlineStr">
        <is>
          <t>Giulia Bianchi</t>
        </is>
      </c>
      <c r="F52" s="9" t="inlineStr">
        <is>
          <t>Professionisti / SOHO</t>
        </is>
      </c>
      <c r="G52" s="9" t="inlineStr">
        <is>
          <t>Consulenza &amp; Setup</t>
        </is>
      </c>
      <c r="H52" s="9" t="inlineStr">
        <is>
          <t>SECURITY-AUDIT</t>
        </is>
      </c>
      <c r="I52" s="14" t="n">
        <v>2200</v>
      </c>
      <c r="J52" s="15" t="n">
        <v>3</v>
      </c>
      <c r="K52" s="16" t="n">
        <v>0.05</v>
      </c>
      <c r="L52" s="14">
        <f>I52*J52</f>
        <v/>
      </c>
      <c r="M52" s="14">
        <f>L52*K52</f>
        <v/>
      </c>
      <c r="N52" s="14">
        <f>L52-M52</f>
        <v/>
      </c>
      <c r="O52" s="14" t="n">
        <v>950</v>
      </c>
      <c r="P52" s="14">
        <f>O52*J52</f>
        <v/>
      </c>
      <c r="Q52" s="14">
        <f>N52-P52</f>
        <v/>
      </c>
      <c r="R52" s="16">
        <f>Q52/N52</f>
        <v/>
      </c>
    </row>
    <row r="53">
      <c r="A53" s="17" t="inlineStr">
        <is>
          <t>TRX-2025-0052</t>
        </is>
      </c>
      <c r="B53" s="18" t="inlineStr">
        <is>
          <t>2026-04-27</t>
        </is>
      </c>
      <c r="C53" s="17" t="inlineStr">
        <is>
          <t>B2B Diretto</t>
        </is>
      </c>
      <c r="D53" s="17" t="inlineStr">
        <is>
          <t>Sud &amp; Isole</t>
        </is>
      </c>
      <c r="E53" s="17" t="inlineStr">
        <is>
          <t>Roberto Moretti</t>
        </is>
      </c>
      <c r="F53" s="17" t="inlineStr">
        <is>
          <t>Pubblica Amministrazione</t>
        </is>
      </c>
      <c r="G53" s="17" t="inlineStr">
        <is>
          <t>Hardware &amp; IoT</t>
        </is>
      </c>
      <c r="H53" s="17" t="inlineStr">
        <is>
          <t>TERMINAL-SMART-V2</t>
        </is>
      </c>
      <c r="I53" s="19" t="n">
        <v>640</v>
      </c>
      <c r="J53" s="20" t="n">
        <v>15</v>
      </c>
      <c r="K53" s="21" t="n">
        <v>0.15</v>
      </c>
      <c r="L53" s="19">
        <f>I53*J53</f>
        <v/>
      </c>
      <c r="M53" s="19">
        <f>L53*K53</f>
        <v/>
      </c>
      <c r="N53" s="19">
        <f>L53-M53</f>
        <v/>
      </c>
      <c r="O53" s="19" t="n">
        <v>380</v>
      </c>
      <c r="P53" s="19">
        <f>O53*J53</f>
        <v/>
      </c>
      <c r="Q53" s="19">
        <f>N53-P53</f>
        <v/>
      </c>
      <c r="R53" s="21">
        <f>Q53/N53</f>
        <v/>
      </c>
    </row>
    <row r="54">
      <c r="A54" s="9" t="inlineStr">
        <is>
          <t>TRX-2026-0053</t>
        </is>
      </c>
      <c r="B54" s="13" t="inlineStr">
        <is>
          <t>2026-07-30</t>
        </is>
      </c>
      <c r="C54" s="9" t="inlineStr">
        <is>
          <t>B2B Diretto</t>
        </is>
      </c>
      <c r="D54" s="9" t="inlineStr">
        <is>
          <t>Nord-Est</t>
        </is>
      </c>
      <c r="E54" s="9" t="inlineStr">
        <is>
          <t>Elena Conti</t>
        </is>
      </c>
      <c r="F54" s="9" t="inlineStr">
        <is>
          <t>PMI</t>
        </is>
      </c>
      <c r="G54" s="9" t="inlineStr">
        <is>
          <t>Hardware &amp; IoT</t>
        </is>
      </c>
      <c r="H54" s="9" t="inlineStr">
        <is>
          <t>GATEWAY-EDGE-PRO</t>
        </is>
      </c>
      <c r="I54" s="14" t="n">
        <v>890</v>
      </c>
      <c r="J54" s="15" t="n">
        <v>8</v>
      </c>
      <c r="K54" s="16" t="n">
        <v>0</v>
      </c>
      <c r="L54" s="14">
        <f>I54*J54</f>
        <v/>
      </c>
      <c r="M54" s="14">
        <f>L54*K54</f>
        <v/>
      </c>
      <c r="N54" s="14">
        <f>L54-M54</f>
        <v/>
      </c>
      <c r="O54" s="14" t="n">
        <v>520</v>
      </c>
      <c r="P54" s="14">
        <f>O54*J54</f>
        <v/>
      </c>
      <c r="Q54" s="14">
        <f>N54-P54</f>
        <v/>
      </c>
      <c r="R54" s="16">
        <f>Q54/N54</f>
        <v/>
      </c>
    </row>
    <row r="55">
      <c r="A55" s="17" t="inlineStr">
        <is>
          <t>TRX-2026-0054</t>
        </is>
      </c>
      <c r="B55" s="18" t="inlineStr">
        <is>
          <t>2025-09-16</t>
        </is>
      </c>
      <c r="C55" s="17" t="inlineStr">
        <is>
          <t>B2B Diretto</t>
        </is>
      </c>
      <c r="D55" s="17" t="inlineStr">
        <is>
          <t>Nord-Ovest</t>
        </is>
      </c>
      <c r="E55" s="17" t="inlineStr">
        <is>
          <t>Alessandro Riva</t>
        </is>
      </c>
      <c r="F55" s="17" t="inlineStr">
        <is>
          <t>Enterprise</t>
        </is>
      </c>
      <c r="G55" s="17" t="inlineStr">
        <is>
          <t>Hardware &amp; IoT</t>
        </is>
      </c>
      <c r="H55" s="17" t="inlineStr">
        <is>
          <t>TERMINAL-SMART-V2</t>
        </is>
      </c>
      <c r="I55" s="19" t="n">
        <v>640</v>
      </c>
      <c r="J55" s="20" t="n">
        <v>2</v>
      </c>
      <c r="K55" s="21" t="n">
        <v>0.05</v>
      </c>
      <c r="L55" s="19">
        <f>I55*J55</f>
        <v/>
      </c>
      <c r="M55" s="19">
        <f>L55*K55</f>
        <v/>
      </c>
      <c r="N55" s="19">
        <f>L55-M55</f>
        <v/>
      </c>
      <c r="O55" s="19" t="n">
        <v>380</v>
      </c>
      <c r="P55" s="19">
        <f>O55*J55</f>
        <v/>
      </c>
      <c r="Q55" s="19">
        <f>N55-P55</f>
        <v/>
      </c>
      <c r="R55" s="21">
        <f>Q55/N55</f>
        <v/>
      </c>
    </row>
    <row r="56">
      <c r="A56" s="9" t="inlineStr">
        <is>
          <t>TRX-2025-0055</t>
        </is>
      </c>
      <c r="B56" s="13" t="inlineStr">
        <is>
          <t>2025-06-18</t>
        </is>
      </c>
      <c r="C56" s="9" t="inlineStr">
        <is>
          <t>B2B Diretto</t>
        </is>
      </c>
      <c r="D56" s="9" t="inlineStr">
        <is>
          <t>Nord-Est</t>
        </is>
      </c>
      <c r="E56" s="9" t="inlineStr">
        <is>
          <t>Giulia Bianchi</t>
        </is>
      </c>
      <c r="F56" s="9" t="inlineStr">
        <is>
          <t>Enterprise</t>
        </is>
      </c>
      <c r="G56" s="9" t="inlineStr">
        <is>
          <t>Consulenza &amp; Setup</t>
        </is>
      </c>
      <c r="H56" s="9" t="inlineStr">
        <is>
          <t>SETUP-INTEGRATION</t>
        </is>
      </c>
      <c r="I56" s="14" t="n">
        <v>1500</v>
      </c>
      <c r="J56" s="15" t="n">
        <v>2</v>
      </c>
      <c r="K56" s="16" t="n">
        <v>0.05</v>
      </c>
      <c r="L56" s="14">
        <f>I56*J56</f>
        <v/>
      </c>
      <c r="M56" s="14">
        <f>L56*K56</f>
        <v/>
      </c>
      <c r="N56" s="14">
        <f>L56-M56</f>
        <v/>
      </c>
      <c r="O56" s="14" t="n">
        <v>650</v>
      </c>
      <c r="P56" s="14">
        <f>O56*J56</f>
        <v/>
      </c>
      <c r="Q56" s="14">
        <f>N56-P56</f>
        <v/>
      </c>
      <c r="R56" s="16">
        <f>Q56/N56</f>
        <v/>
      </c>
    </row>
    <row r="57">
      <c r="A57" s="17" t="inlineStr">
        <is>
          <t>TRX-2025-0056</t>
        </is>
      </c>
      <c r="B57" s="18" t="inlineStr">
        <is>
          <t>2025-08-14</t>
        </is>
      </c>
      <c r="C57" s="17" t="inlineStr">
        <is>
          <t>Partner / Retailer</t>
        </is>
      </c>
      <c r="D57" s="17" t="inlineStr">
        <is>
          <t>Sud &amp; Isole</t>
        </is>
      </c>
      <c r="E57" s="17" t="inlineStr">
        <is>
          <t>Roberto Moretti</t>
        </is>
      </c>
      <c r="F57" s="17" t="inlineStr">
        <is>
          <t>Pubblica Amministrazione</t>
        </is>
      </c>
      <c r="G57" s="17" t="inlineStr">
        <is>
          <t>Cloud &amp; Software</t>
        </is>
      </c>
      <c r="H57" s="17" t="inlineStr">
        <is>
          <t>SaaS-PLATFORM-ENT</t>
        </is>
      </c>
      <c r="I57" s="19" t="n">
        <v>1200</v>
      </c>
      <c r="J57" s="20" t="n">
        <v>10</v>
      </c>
      <c r="K57" s="21" t="n">
        <v>0.1</v>
      </c>
      <c r="L57" s="19">
        <f>I57*J57</f>
        <v/>
      </c>
      <c r="M57" s="19">
        <f>L57*K57</f>
        <v/>
      </c>
      <c r="N57" s="19">
        <f>L57-M57</f>
        <v/>
      </c>
      <c r="O57" s="19" t="n">
        <v>320</v>
      </c>
      <c r="P57" s="19">
        <f>O57*J57</f>
        <v/>
      </c>
      <c r="Q57" s="19">
        <f>N57-P57</f>
        <v/>
      </c>
      <c r="R57" s="21">
        <f>Q57/N57</f>
        <v/>
      </c>
    </row>
    <row r="58">
      <c r="A58" s="9" t="inlineStr">
        <is>
          <t>TRX-2026-0057</t>
        </is>
      </c>
      <c r="B58" s="13" t="inlineStr">
        <is>
          <t>2026-05-18</t>
        </is>
      </c>
      <c r="C58" s="9" t="inlineStr">
        <is>
          <t>B2B Diretto</t>
        </is>
      </c>
      <c r="D58" s="9" t="inlineStr">
        <is>
          <t>Centro</t>
        </is>
      </c>
      <c r="E58" s="9" t="inlineStr">
        <is>
          <t>Alessandro Riva</t>
        </is>
      </c>
      <c r="F58" s="9" t="inlineStr">
        <is>
          <t>Professionisti / SOHO</t>
        </is>
      </c>
      <c r="G58" s="9" t="inlineStr">
        <is>
          <t>Consulenza &amp; Setup</t>
        </is>
      </c>
      <c r="H58" s="9" t="inlineStr">
        <is>
          <t>SETUP-INTEGRATION</t>
        </is>
      </c>
      <c r="I58" s="14" t="n">
        <v>1500</v>
      </c>
      <c r="J58" s="15" t="n">
        <v>3</v>
      </c>
      <c r="K58" s="16" t="n">
        <v>0.1</v>
      </c>
      <c r="L58" s="14">
        <f>I58*J58</f>
        <v/>
      </c>
      <c r="M58" s="14">
        <f>L58*K58</f>
        <v/>
      </c>
      <c r="N58" s="14">
        <f>L58-M58</f>
        <v/>
      </c>
      <c r="O58" s="14" t="n">
        <v>650</v>
      </c>
      <c r="P58" s="14">
        <f>O58*J58</f>
        <v/>
      </c>
      <c r="Q58" s="14">
        <f>N58-P58</f>
        <v/>
      </c>
      <c r="R58" s="16">
        <f>Q58/N58</f>
        <v/>
      </c>
    </row>
    <row r="59">
      <c r="A59" s="17" t="inlineStr">
        <is>
          <t>TRX-2025-0058</t>
        </is>
      </c>
      <c r="B59" s="18" t="inlineStr">
        <is>
          <t>2026-05-29</t>
        </is>
      </c>
      <c r="C59" s="17" t="inlineStr">
        <is>
          <t>B2B Diretto</t>
        </is>
      </c>
      <c r="D59" s="17" t="inlineStr">
        <is>
          <t>Sud &amp; Isole</t>
        </is>
      </c>
      <c r="E59" s="17" t="inlineStr">
        <is>
          <t>Elena Conti</t>
        </is>
      </c>
      <c r="F59" s="17" t="inlineStr">
        <is>
          <t>Enterprise</t>
        </is>
      </c>
      <c r="G59" s="17" t="inlineStr">
        <is>
          <t>Hardware &amp; IoT</t>
        </is>
      </c>
      <c r="H59" s="17" t="inlineStr">
        <is>
          <t>TERMINAL-SMART-V2</t>
        </is>
      </c>
      <c r="I59" s="19" t="n">
        <v>640</v>
      </c>
      <c r="J59" s="20" t="n">
        <v>5</v>
      </c>
      <c r="K59" s="21" t="n">
        <v>0.1</v>
      </c>
      <c r="L59" s="19">
        <f>I59*J59</f>
        <v/>
      </c>
      <c r="M59" s="19">
        <f>L59*K59</f>
        <v/>
      </c>
      <c r="N59" s="19">
        <f>L59-M59</f>
        <v/>
      </c>
      <c r="O59" s="19" t="n">
        <v>380</v>
      </c>
      <c r="P59" s="19">
        <f>O59*J59</f>
        <v/>
      </c>
      <c r="Q59" s="19">
        <f>N59-P59</f>
        <v/>
      </c>
      <c r="R59" s="21">
        <f>Q59/N59</f>
        <v/>
      </c>
    </row>
    <row r="60">
      <c r="A60" s="9" t="inlineStr">
        <is>
          <t>TRX-2025-0059</t>
        </is>
      </c>
      <c r="B60" s="13" t="inlineStr">
        <is>
          <t>2026-05-08</t>
        </is>
      </c>
      <c r="C60" s="9" t="inlineStr">
        <is>
          <t>Partner / Retailer</t>
        </is>
      </c>
      <c r="D60" s="9" t="inlineStr">
        <is>
          <t>Estero (EU)</t>
        </is>
      </c>
      <c r="E60" s="9" t="inlineStr">
        <is>
          <t>Roberto Moretti</t>
        </is>
      </c>
      <c r="F60" s="9" t="inlineStr">
        <is>
          <t>Enterprise</t>
        </is>
      </c>
      <c r="G60" s="9" t="inlineStr">
        <is>
          <t>Consulenza &amp; Setup</t>
        </is>
      </c>
      <c r="H60" s="9" t="inlineStr">
        <is>
          <t>SETUP-INTEGRATION</t>
        </is>
      </c>
      <c r="I60" s="14" t="n">
        <v>1500</v>
      </c>
      <c r="J60" s="15" t="n">
        <v>3</v>
      </c>
      <c r="K60" s="16" t="n">
        <v>0.1</v>
      </c>
      <c r="L60" s="14">
        <f>I60*J60</f>
        <v/>
      </c>
      <c r="M60" s="14">
        <f>L60*K60</f>
        <v/>
      </c>
      <c r="N60" s="14">
        <f>L60-M60</f>
        <v/>
      </c>
      <c r="O60" s="14" t="n">
        <v>650</v>
      </c>
      <c r="P60" s="14">
        <f>O60*J60</f>
        <v/>
      </c>
      <c r="Q60" s="14">
        <f>N60-P60</f>
        <v/>
      </c>
      <c r="R60" s="16">
        <f>Q60/N60</f>
        <v/>
      </c>
    </row>
    <row r="61">
      <c r="A61" s="17" t="inlineStr">
        <is>
          <t>TRX-2025-0060</t>
        </is>
      </c>
      <c r="B61" s="18" t="inlineStr">
        <is>
          <t>2026-03-29</t>
        </is>
      </c>
      <c r="C61" s="17" t="inlineStr">
        <is>
          <t>B2B Diretto</t>
        </is>
      </c>
      <c r="D61" s="17" t="inlineStr">
        <is>
          <t>Sud &amp; Isole</t>
        </is>
      </c>
      <c r="E61" s="17" t="inlineStr">
        <is>
          <t>Giulia Bianchi</t>
        </is>
      </c>
      <c r="F61" s="17" t="inlineStr">
        <is>
          <t>Enterprise</t>
        </is>
      </c>
      <c r="G61" s="17" t="inlineStr">
        <is>
          <t>Consulenza &amp; Setup</t>
        </is>
      </c>
      <c r="H61" s="17" t="inlineStr">
        <is>
          <t>SETUP-INTEGRATION</t>
        </is>
      </c>
      <c r="I61" s="19" t="n">
        <v>1500</v>
      </c>
      <c r="J61" s="20" t="n">
        <v>2</v>
      </c>
      <c r="K61" s="21" t="n">
        <v>0.05</v>
      </c>
      <c r="L61" s="19">
        <f>I61*J61</f>
        <v/>
      </c>
      <c r="M61" s="19">
        <f>L61*K61</f>
        <v/>
      </c>
      <c r="N61" s="19">
        <f>L61-M61</f>
        <v/>
      </c>
      <c r="O61" s="19" t="n">
        <v>650</v>
      </c>
      <c r="P61" s="19">
        <f>O61*J61</f>
        <v/>
      </c>
      <c r="Q61" s="19">
        <f>N61-P61</f>
        <v/>
      </c>
      <c r="R61" s="21">
        <f>Q61/N61</f>
        <v/>
      </c>
    </row>
    <row r="62">
      <c r="A62" s="9" t="inlineStr">
        <is>
          <t>TRX-2026-0061</t>
        </is>
      </c>
      <c r="B62" s="13" t="inlineStr">
        <is>
          <t>2026-02-07</t>
        </is>
      </c>
      <c r="C62" s="9" t="inlineStr">
        <is>
          <t>B2B Diretto</t>
        </is>
      </c>
      <c r="D62" s="9" t="inlineStr">
        <is>
          <t>Sud &amp; Isole</t>
        </is>
      </c>
      <c r="E62" s="9" t="inlineStr">
        <is>
          <t>Alessandro Riva</t>
        </is>
      </c>
      <c r="F62" s="9" t="inlineStr">
        <is>
          <t>Professionisti / SOHO</t>
        </is>
      </c>
      <c r="G62" s="9" t="inlineStr">
        <is>
          <t>Consulenza &amp; Setup</t>
        </is>
      </c>
      <c r="H62" s="9" t="inlineStr">
        <is>
          <t>TRAINING-ONBOARDING</t>
        </is>
      </c>
      <c r="I62" s="14" t="n">
        <v>800</v>
      </c>
      <c r="J62" s="15" t="n">
        <v>1</v>
      </c>
      <c r="K62" s="16" t="n">
        <v>0.05</v>
      </c>
      <c r="L62" s="14">
        <f>I62*J62</f>
        <v/>
      </c>
      <c r="M62" s="14">
        <f>L62*K62</f>
        <v/>
      </c>
      <c r="N62" s="14">
        <f>L62-M62</f>
        <v/>
      </c>
      <c r="O62" s="14" t="n">
        <v>350</v>
      </c>
      <c r="P62" s="14">
        <f>O62*J62</f>
        <v/>
      </c>
      <c r="Q62" s="14">
        <f>N62-P62</f>
        <v/>
      </c>
      <c r="R62" s="16">
        <f>Q62/N62</f>
        <v/>
      </c>
    </row>
    <row r="63">
      <c r="A63" s="17" t="inlineStr">
        <is>
          <t>TRX-2026-0062</t>
        </is>
      </c>
      <c r="B63" s="18" t="inlineStr">
        <is>
          <t>2025-09-01</t>
        </is>
      </c>
      <c r="C63" s="17" t="inlineStr">
        <is>
          <t>E-commerce</t>
        </is>
      </c>
      <c r="D63" s="17" t="inlineStr">
        <is>
          <t>Nord-Ovest</t>
        </is>
      </c>
      <c r="E63" s="17" t="inlineStr">
        <is>
          <t>Marco Rossi</t>
        </is>
      </c>
      <c r="F63" s="17" t="inlineStr">
        <is>
          <t>Pubblica Amministrazione</t>
        </is>
      </c>
      <c r="G63" s="17" t="inlineStr">
        <is>
          <t>Hardware &amp; IoT</t>
        </is>
      </c>
      <c r="H63" s="17" t="inlineStr">
        <is>
          <t>GATEWAY-EDGE-PRO</t>
        </is>
      </c>
      <c r="I63" s="19" t="n">
        <v>890</v>
      </c>
      <c r="J63" s="20" t="n">
        <v>8</v>
      </c>
      <c r="K63" s="21" t="n">
        <v>0.05</v>
      </c>
      <c r="L63" s="19">
        <f>I63*J63</f>
        <v/>
      </c>
      <c r="M63" s="19">
        <f>L63*K63</f>
        <v/>
      </c>
      <c r="N63" s="19">
        <f>L63-M63</f>
        <v/>
      </c>
      <c r="O63" s="19" t="n">
        <v>520</v>
      </c>
      <c r="P63" s="19">
        <f>O63*J63</f>
        <v/>
      </c>
      <c r="Q63" s="19">
        <f>N63-P63</f>
        <v/>
      </c>
      <c r="R63" s="21">
        <f>Q63/N63</f>
        <v/>
      </c>
    </row>
    <row r="64">
      <c r="A64" s="9" t="inlineStr">
        <is>
          <t>TRX-2025-0063</t>
        </is>
      </c>
      <c r="B64" s="13" t="inlineStr">
        <is>
          <t>2025-05-24</t>
        </is>
      </c>
      <c r="C64" s="9" t="inlineStr">
        <is>
          <t>E-commerce</t>
        </is>
      </c>
      <c r="D64" s="9" t="inlineStr">
        <is>
          <t>Nord-Ovest</t>
        </is>
      </c>
      <c r="E64" s="9" t="inlineStr">
        <is>
          <t>Roberto Moretti</t>
        </is>
      </c>
      <c r="F64" s="9" t="inlineStr">
        <is>
          <t>Pubblica Amministrazione</t>
        </is>
      </c>
      <c r="G64" s="9" t="inlineStr">
        <is>
          <t>Consulenza &amp; Setup</t>
        </is>
      </c>
      <c r="H64" s="9" t="inlineStr">
        <is>
          <t>TRAINING-ONBOARDING</t>
        </is>
      </c>
      <c r="I64" s="14" t="n">
        <v>800</v>
      </c>
      <c r="J64" s="15" t="n">
        <v>5</v>
      </c>
      <c r="K64" s="16" t="n">
        <v>0.1</v>
      </c>
      <c r="L64" s="14">
        <f>I64*J64</f>
        <v/>
      </c>
      <c r="M64" s="14">
        <f>L64*K64</f>
        <v/>
      </c>
      <c r="N64" s="14">
        <f>L64-M64</f>
        <v/>
      </c>
      <c r="O64" s="14" t="n">
        <v>350</v>
      </c>
      <c r="P64" s="14">
        <f>O64*J64</f>
        <v/>
      </c>
      <c r="Q64" s="14">
        <f>N64-P64</f>
        <v/>
      </c>
      <c r="R64" s="16">
        <f>Q64/N64</f>
        <v/>
      </c>
    </row>
    <row r="65">
      <c r="A65" s="17" t="inlineStr">
        <is>
          <t>TRX-2025-0064</t>
        </is>
      </c>
      <c r="B65" s="18" t="inlineStr">
        <is>
          <t>2025-05-12</t>
        </is>
      </c>
      <c r="C65" s="17" t="inlineStr">
        <is>
          <t>E-commerce</t>
        </is>
      </c>
      <c r="D65" s="17" t="inlineStr">
        <is>
          <t>Nord-Est</t>
        </is>
      </c>
      <c r="E65" s="17" t="inlineStr">
        <is>
          <t>Alessandro Riva</t>
        </is>
      </c>
      <c r="F65" s="17" t="inlineStr">
        <is>
          <t>Enterprise</t>
        </is>
      </c>
      <c r="G65" s="17" t="inlineStr">
        <is>
          <t>Cloud &amp; Software</t>
        </is>
      </c>
      <c r="H65" s="17" t="inlineStr">
        <is>
          <t>SaaS-PLATFORM-ENT</t>
        </is>
      </c>
      <c r="I65" s="19" t="n">
        <v>1200</v>
      </c>
      <c r="J65" s="20" t="n">
        <v>10</v>
      </c>
      <c r="K65" s="21" t="n">
        <v>0.05</v>
      </c>
      <c r="L65" s="19">
        <f>I65*J65</f>
        <v/>
      </c>
      <c r="M65" s="19">
        <f>L65*K65</f>
        <v/>
      </c>
      <c r="N65" s="19">
        <f>L65-M65</f>
        <v/>
      </c>
      <c r="O65" s="19" t="n">
        <v>320</v>
      </c>
      <c r="P65" s="19">
        <f>O65*J65</f>
        <v/>
      </c>
      <c r="Q65" s="19">
        <f>N65-P65</f>
        <v/>
      </c>
      <c r="R65" s="21">
        <f>Q65/N65</f>
        <v/>
      </c>
    </row>
    <row r="66">
      <c r="A66" s="9" t="inlineStr">
        <is>
          <t>TRX-2026-0065</t>
        </is>
      </c>
      <c r="B66" s="13" t="inlineStr">
        <is>
          <t>2026-02-25</t>
        </is>
      </c>
      <c r="C66" s="9" t="inlineStr">
        <is>
          <t>Partner / Retailer</t>
        </is>
      </c>
      <c r="D66" s="9" t="inlineStr">
        <is>
          <t>Nord-Est</t>
        </is>
      </c>
      <c r="E66" s="9" t="inlineStr">
        <is>
          <t>Marco Rossi</t>
        </is>
      </c>
      <c r="F66" s="9" t="inlineStr">
        <is>
          <t>PMI</t>
        </is>
      </c>
      <c r="G66" s="9" t="inlineStr">
        <is>
          <t>Hardware &amp; IoT</t>
        </is>
      </c>
      <c r="H66" s="9" t="inlineStr">
        <is>
          <t>GATEWAY-EDGE-PRO</t>
        </is>
      </c>
      <c r="I66" s="14" t="n">
        <v>890</v>
      </c>
      <c r="J66" s="15" t="n">
        <v>1</v>
      </c>
      <c r="K66" s="16" t="n">
        <v>0.1</v>
      </c>
      <c r="L66" s="14">
        <f>I66*J66</f>
        <v/>
      </c>
      <c r="M66" s="14">
        <f>L66*K66</f>
        <v/>
      </c>
      <c r="N66" s="14">
        <f>L66-M66</f>
        <v/>
      </c>
      <c r="O66" s="14" t="n">
        <v>520</v>
      </c>
      <c r="P66" s="14">
        <f>O66*J66</f>
        <v/>
      </c>
      <c r="Q66" s="14">
        <f>N66-P66</f>
        <v/>
      </c>
      <c r="R66" s="16">
        <f>Q66/N66</f>
        <v/>
      </c>
    </row>
    <row r="67">
      <c r="A67" s="17" t="inlineStr">
        <is>
          <t>TRX-2025-0066</t>
        </is>
      </c>
      <c r="B67" s="18" t="inlineStr">
        <is>
          <t>2026-08-17</t>
        </is>
      </c>
      <c r="C67" s="17" t="inlineStr">
        <is>
          <t>E-commerce</t>
        </is>
      </c>
      <c r="D67" s="17" t="inlineStr">
        <is>
          <t>Centro</t>
        </is>
      </c>
      <c r="E67" s="17" t="inlineStr">
        <is>
          <t>Roberto Moretti</t>
        </is>
      </c>
      <c r="F67" s="17" t="inlineStr">
        <is>
          <t>PMI</t>
        </is>
      </c>
      <c r="G67" s="17" t="inlineStr">
        <is>
          <t>Hardware &amp; IoT</t>
        </is>
      </c>
      <c r="H67" s="17" t="inlineStr">
        <is>
          <t>TERMINAL-SMART-V2</t>
        </is>
      </c>
      <c r="I67" s="19" t="n">
        <v>640</v>
      </c>
      <c r="J67" s="20" t="n">
        <v>1</v>
      </c>
      <c r="K67" s="21" t="n">
        <v>0.05</v>
      </c>
      <c r="L67" s="19">
        <f>I67*J67</f>
        <v/>
      </c>
      <c r="M67" s="19">
        <f>L67*K67</f>
        <v/>
      </c>
      <c r="N67" s="19">
        <f>L67-M67</f>
        <v/>
      </c>
      <c r="O67" s="19" t="n">
        <v>380</v>
      </c>
      <c r="P67" s="19">
        <f>O67*J67</f>
        <v/>
      </c>
      <c r="Q67" s="19">
        <f>N67-P67</f>
        <v/>
      </c>
      <c r="R67" s="21">
        <f>Q67/N67</f>
        <v/>
      </c>
    </row>
    <row r="68">
      <c r="A68" s="9" t="inlineStr">
        <is>
          <t>TRX-2025-0067</t>
        </is>
      </c>
      <c r="B68" s="13" t="inlineStr">
        <is>
          <t>2026-03-21</t>
        </is>
      </c>
      <c r="C68" s="9" t="inlineStr">
        <is>
          <t>Partner / Retailer</t>
        </is>
      </c>
      <c r="D68" s="9" t="inlineStr">
        <is>
          <t>Nord-Ovest</t>
        </is>
      </c>
      <c r="E68" s="9" t="inlineStr">
        <is>
          <t>Elena Conti</t>
        </is>
      </c>
      <c r="F68" s="9" t="inlineStr">
        <is>
          <t>Pubblica Amministrazione</t>
        </is>
      </c>
      <c r="G68" s="9" t="inlineStr">
        <is>
          <t>Consulenza &amp; Setup</t>
        </is>
      </c>
      <c r="H68" s="9" t="inlineStr">
        <is>
          <t>TRAINING-ONBOARDING</t>
        </is>
      </c>
      <c r="I68" s="14" t="n">
        <v>800</v>
      </c>
      <c r="J68" s="15" t="n">
        <v>5</v>
      </c>
      <c r="K68" s="16" t="n">
        <v>0.05</v>
      </c>
      <c r="L68" s="14">
        <f>I68*J68</f>
        <v/>
      </c>
      <c r="M68" s="14">
        <f>L68*K68</f>
        <v/>
      </c>
      <c r="N68" s="14">
        <f>L68-M68</f>
        <v/>
      </c>
      <c r="O68" s="14" t="n">
        <v>350</v>
      </c>
      <c r="P68" s="14">
        <f>O68*J68</f>
        <v/>
      </c>
      <c r="Q68" s="14">
        <f>N68-P68</f>
        <v/>
      </c>
      <c r="R68" s="16">
        <f>Q68/N68</f>
        <v/>
      </c>
    </row>
    <row r="69">
      <c r="A69" s="17" t="inlineStr">
        <is>
          <t>TRX-2026-0068</t>
        </is>
      </c>
      <c r="B69" s="18" t="inlineStr">
        <is>
          <t>2026-07-20</t>
        </is>
      </c>
      <c r="C69" s="17" t="inlineStr">
        <is>
          <t>E-commerce</t>
        </is>
      </c>
      <c r="D69" s="17" t="inlineStr">
        <is>
          <t>Sud &amp; Isole</t>
        </is>
      </c>
      <c r="E69" s="17" t="inlineStr">
        <is>
          <t>Elena Conti</t>
        </is>
      </c>
      <c r="F69" s="17" t="inlineStr">
        <is>
          <t>Professionisti / SOHO</t>
        </is>
      </c>
      <c r="G69" s="17" t="inlineStr">
        <is>
          <t>Hardware &amp; IoT</t>
        </is>
      </c>
      <c r="H69" s="17" t="inlineStr">
        <is>
          <t>SENSOR-IOT-PACK</t>
        </is>
      </c>
      <c r="I69" s="19" t="n">
        <v>290</v>
      </c>
      <c r="J69" s="20" t="n">
        <v>2</v>
      </c>
      <c r="K69" s="21" t="n">
        <v>0</v>
      </c>
      <c r="L69" s="19">
        <f>I69*J69</f>
        <v/>
      </c>
      <c r="M69" s="19">
        <f>L69*K69</f>
        <v/>
      </c>
      <c r="N69" s="19">
        <f>L69-M69</f>
        <v/>
      </c>
      <c r="O69" s="19" t="n">
        <v>140</v>
      </c>
      <c r="P69" s="19">
        <f>O69*J69</f>
        <v/>
      </c>
      <c r="Q69" s="19">
        <f>N69-P69</f>
        <v/>
      </c>
      <c r="R69" s="21">
        <f>Q69/N69</f>
        <v/>
      </c>
    </row>
    <row r="70">
      <c r="A70" s="9" t="inlineStr">
        <is>
          <t>TRX-2025-0069</t>
        </is>
      </c>
      <c r="B70" s="13" t="inlineStr">
        <is>
          <t>2025-10-27</t>
        </is>
      </c>
      <c r="C70" s="9" t="inlineStr">
        <is>
          <t>Partner / Retailer</t>
        </is>
      </c>
      <c r="D70" s="9" t="inlineStr">
        <is>
          <t>Nord-Est</t>
        </is>
      </c>
      <c r="E70" s="9" t="inlineStr">
        <is>
          <t>Elena Conti</t>
        </is>
      </c>
      <c r="F70" s="9" t="inlineStr">
        <is>
          <t>PMI</t>
        </is>
      </c>
      <c r="G70" s="9" t="inlineStr">
        <is>
          <t>Consulenza &amp; Setup</t>
        </is>
      </c>
      <c r="H70" s="9" t="inlineStr">
        <is>
          <t>SETUP-INTEGRATION</t>
        </is>
      </c>
      <c r="I70" s="14" t="n">
        <v>1500</v>
      </c>
      <c r="J70" s="15" t="n">
        <v>2</v>
      </c>
      <c r="K70" s="16" t="n">
        <v>0.05</v>
      </c>
      <c r="L70" s="14">
        <f>I70*J70</f>
        <v/>
      </c>
      <c r="M70" s="14">
        <f>L70*K70</f>
        <v/>
      </c>
      <c r="N70" s="14">
        <f>L70-M70</f>
        <v/>
      </c>
      <c r="O70" s="14" t="n">
        <v>650</v>
      </c>
      <c r="P70" s="14">
        <f>O70*J70</f>
        <v/>
      </c>
      <c r="Q70" s="14">
        <f>N70-P70</f>
        <v/>
      </c>
      <c r="R70" s="16">
        <f>Q70/N70</f>
        <v/>
      </c>
    </row>
    <row r="71">
      <c r="A71" s="17" t="inlineStr">
        <is>
          <t>TRX-2026-0070</t>
        </is>
      </c>
      <c r="B71" s="18" t="inlineStr">
        <is>
          <t>2025-07-20</t>
        </is>
      </c>
      <c r="C71" s="17" t="inlineStr">
        <is>
          <t>E-commerce</t>
        </is>
      </c>
      <c r="D71" s="17" t="inlineStr">
        <is>
          <t>Centro</t>
        </is>
      </c>
      <c r="E71" s="17" t="inlineStr">
        <is>
          <t>Alessandro Riva</t>
        </is>
      </c>
      <c r="F71" s="17" t="inlineStr">
        <is>
          <t>Enterprise</t>
        </is>
      </c>
      <c r="G71" s="17" t="inlineStr">
        <is>
          <t>Hardware &amp; IoT</t>
        </is>
      </c>
      <c r="H71" s="17" t="inlineStr">
        <is>
          <t>SENSOR-IOT-PACK</t>
        </is>
      </c>
      <c r="I71" s="19" t="n">
        <v>290</v>
      </c>
      <c r="J71" s="20" t="n">
        <v>3</v>
      </c>
      <c r="K71" s="21" t="n">
        <v>0.05</v>
      </c>
      <c r="L71" s="19">
        <f>I71*J71</f>
        <v/>
      </c>
      <c r="M71" s="19">
        <f>L71*K71</f>
        <v/>
      </c>
      <c r="N71" s="19">
        <f>L71-M71</f>
        <v/>
      </c>
      <c r="O71" s="19" t="n">
        <v>140</v>
      </c>
      <c r="P71" s="19">
        <f>O71*J71</f>
        <v/>
      </c>
      <c r="Q71" s="19">
        <f>N71-P71</f>
        <v/>
      </c>
      <c r="R71" s="21">
        <f>Q71/N71</f>
        <v/>
      </c>
    </row>
    <row r="72">
      <c r="A72" s="9" t="inlineStr">
        <is>
          <t>TRX-2025-0071</t>
        </is>
      </c>
      <c r="B72" s="13" t="inlineStr">
        <is>
          <t>2025-04-12</t>
        </is>
      </c>
      <c r="C72" s="9" t="inlineStr">
        <is>
          <t>B2B Diretto</t>
        </is>
      </c>
      <c r="D72" s="9" t="inlineStr">
        <is>
          <t>Sud &amp; Isole</t>
        </is>
      </c>
      <c r="E72" s="9" t="inlineStr">
        <is>
          <t>Elena Conti</t>
        </is>
      </c>
      <c r="F72" s="9" t="inlineStr">
        <is>
          <t>PMI</t>
        </is>
      </c>
      <c r="G72" s="9" t="inlineStr">
        <is>
          <t>Hardware &amp; IoT</t>
        </is>
      </c>
      <c r="H72" s="9" t="inlineStr">
        <is>
          <t>GATEWAY-EDGE-PRO</t>
        </is>
      </c>
      <c r="I72" s="14" t="n">
        <v>890</v>
      </c>
      <c r="J72" s="15" t="n">
        <v>5</v>
      </c>
      <c r="K72" s="16" t="n">
        <v>0.05</v>
      </c>
      <c r="L72" s="14">
        <f>I72*J72</f>
        <v/>
      </c>
      <c r="M72" s="14">
        <f>L72*K72</f>
        <v/>
      </c>
      <c r="N72" s="14">
        <f>L72-M72</f>
        <v/>
      </c>
      <c r="O72" s="14" t="n">
        <v>520</v>
      </c>
      <c r="P72" s="14">
        <f>O72*J72</f>
        <v/>
      </c>
      <c r="Q72" s="14">
        <f>N72-P72</f>
        <v/>
      </c>
      <c r="R72" s="16">
        <f>Q72/N72</f>
        <v/>
      </c>
    </row>
    <row r="73">
      <c r="A73" s="17" t="inlineStr">
        <is>
          <t>TRX-2026-0072</t>
        </is>
      </c>
      <c r="B73" s="18" t="inlineStr">
        <is>
          <t>2026-04-18</t>
        </is>
      </c>
      <c r="C73" s="17" t="inlineStr">
        <is>
          <t>E-commerce</t>
        </is>
      </c>
      <c r="D73" s="17" t="inlineStr">
        <is>
          <t>Nord-Ovest</t>
        </is>
      </c>
      <c r="E73" s="17" t="inlineStr">
        <is>
          <t>Alessandro Riva</t>
        </is>
      </c>
      <c r="F73" s="17" t="inlineStr">
        <is>
          <t>Enterprise</t>
        </is>
      </c>
      <c r="G73" s="17" t="inlineStr">
        <is>
          <t>Hardware &amp; IoT</t>
        </is>
      </c>
      <c r="H73" s="17" t="inlineStr">
        <is>
          <t>GATEWAY-EDGE-PRO</t>
        </is>
      </c>
      <c r="I73" s="19" t="n">
        <v>890</v>
      </c>
      <c r="J73" s="20" t="n">
        <v>2</v>
      </c>
      <c r="K73" s="21" t="n">
        <v>0.05</v>
      </c>
      <c r="L73" s="19">
        <f>I73*J73</f>
        <v/>
      </c>
      <c r="M73" s="19">
        <f>L73*K73</f>
        <v/>
      </c>
      <c r="N73" s="19">
        <f>L73-M73</f>
        <v/>
      </c>
      <c r="O73" s="19" t="n">
        <v>520</v>
      </c>
      <c r="P73" s="19">
        <f>O73*J73</f>
        <v/>
      </c>
      <c r="Q73" s="19">
        <f>N73-P73</f>
        <v/>
      </c>
      <c r="R73" s="21">
        <f>Q73/N73</f>
        <v/>
      </c>
    </row>
    <row r="74">
      <c r="A74" s="9" t="inlineStr">
        <is>
          <t>TRX-2026-0073</t>
        </is>
      </c>
      <c r="B74" s="13" t="inlineStr">
        <is>
          <t>2026-08-04</t>
        </is>
      </c>
      <c r="C74" s="9" t="inlineStr">
        <is>
          <t>E-commerce</t>
        </is>
      </c>
      <c r="D74" s="9" t="inlineStr">
        <is>
          <t>Sud &amp; Isole</t>
        </is>
      </c>
      <c r="E74" s="9" t="inlineStr">
        <is>
          <t>Roberto Moretti</t>
        </is>
      </c>
      <c r="F74" s="9" t="inlineStr">
        <is>
          <t>Enterprise</t>
        </is>
      </c>
      <c r="G74" s="9" t="inlineStr">
        <is>
          <t>Consulenza &amp; Setup</t>
        </is>
      </c>
      <c r="H74" s="9" t="inlineStr">
        <is>
          <t>TRAINING-ONBOARDING</t>
        </is>
      </c>
      <c r="I74" s="14" t="n">
        <v>800</v>
      </c>
      <c r="J74" s="15" t="n">
        <v>2</v>
      </c>
      <c r="K74" s="16" t="n">
        <v>0</v>
      </c>
      <c r="L74" s="14">
        <f>I74*J74</f>
        <v/>
      </c>
      <c r="M74" s="14">
        <f>L74*K74</f>
        <v/>
      </c>
      <c r="N74" s="14">
        <f>L74-M74</f>
        <v/>
      </c>
      <c r="O74" s="14" t="n">
        <v>350</v>
      </c>
      <c r="P74" s="14">
        <f>O74*J74</f>
        <v/>
      </c>
      <c r="Q74" s="14">
        <f>N74-P74</f>
        <v/>
      </c>
      <c r="R74" s="16">
        <f>Q74/N74</f>
        <v/>
      </c>
    </row>
    <row r="75">
      <c r="A75" s="17" t="inlineStr">
        <is>
          <t>TRX-2025-0074</t>
        </is>
      </c>
      <c r="B75" s="18" t="inlineStr">
        <is>
          <t>2025-07-31</t>
        </is>
      </c>
      <c r="C75" s="17" t="inlineStr">
        <is>
          <t>B2B Diretto</t>
        </is>
      </c>
      <c r="D75" s="17" t="inlineStr">
        <is>
          <t>Estero (EU)</t>
        </is>
      </c>
      <c r="E75" s="17" t="inlineStr">
        <is>
          <t>Giulia Bianchi</t>
        </is>
      </c>
      <c r="F75" s="17" t="inlineStr">
        <is>
          <t>Enterprise</t>
        </is>
      </c>
      <c r="G75" s="17" t="inlineStr">
        <is>
          <t>Consulenza &amp; Setup</t>
        </is>
      </c>
      <c r="H75" s="17" t="inlineStr">
        <is>
          <t>TRAINING-ONBOARDING</t>
        </is>
      </c>
      <c r="I75" s="19" t="n">
        <v>800</v>
      </c>
      <c r="J75" s="20" t="n">
        <v>2</v>
      </c>
      <c r="K75" s="21" t="n">
        <v>0.05</v>
      </c>
      <c r="L75" s="19">
        <f>I75*J75</f>
        <v/>
      </c>
      <c r="M75" s="19">
        <f>L75*K75</f>
        <v/>
      </c>
      <c r="N75" s="19">
        <f>L75-M75</f>
        <v/>
      </c>
      <c r="O75" s="19" t="n">
        <v>350</v>
      </c>
      <c r="P75" s="19">
        <f>O75*J75</f>
        <v/>
      </c>
      <c r="Q75" s="19">
        <f>N75-P75</f>
        <v/>
      </c>
      <c r="R75" s="21">
        <f>Q75/N75</f>
        <v/>
      </c>
    </row>
    <row r="76">
      <c r="A76" s="9" t="inlineStr">
        <is>
          <t>TRX-2026-0075</t>
        </is>
      </c>
      <c r="B76" s="13" t="inlineStr">
        <is>
          <t>2025-04-27</t>
        </is>
      </c>
      <c r="C76" s="9" t="inlineStr">
        <is>
          <t>Partner / Retailer</t>
        </is>
      </c>
      <c r="D76" s="9" t="inlineStr">
        <is>
          <t>Centro</t>
        </is>
      </c>
      <c r="E76" s="9" t="inlineStr">
        <is>
          <t>Giulia Bianchi</t>
        </is>
      </c>
      <c r="F76" s="9" t="inlineStr">
        <is>
          <t>PMI</t>
        </is>
      </c>
      <c r="G76" s="9" t="inlineStr">
        <is>
          <t>Hardware &amp; IoT</t>
        </is>
      </c>
      <c r="H76" s="9" t="inlineStr">
        <is>
          <t>SENSOR-IOT-PACK</t>
        </is>
      </c>
      <c r="I76" s="14" t="n">
        <v>290</v>
      </c>
      <c r="J76" s="15" t="n">
        <v>1</v>
      </c>
      <c r="K76" s="16" t="n">
        <v>0.05</v>
      </c>
      <c r="L76" s="14">
        <f>I76*J76</f>
        <v/>
      </c>
      <c r="M76" s="14">
        <f>L76*K76</f>
        <v/>
      </c>
      <c r="N76" s="14">
        <f>L76-M76</f>
        <v/>
      </c>
      <c r="O76" s="14" t="n">
        <v>140</v>
      </c>
      <c r="P76" s="14">
        <f>O76*J76</f>
        <v/>
      </c>
      <c r="Q76" s="14">
        <f>N76-P76</f>
        <v/>
      </c>
      <c r="R76" s="16">
        <f>Q76/N76</f>
        <v/>
      </c>
    </row>
    <row r="77">
      <c r="A77" s="17" t="inlineStr">
        <is>
          <t>TRX-2026-0076</t>
        </is>
      </c>
      <c r="B77" s="18" t="inlineStr">
        <is>
          <t>2025-03-02</t>
        </is>
      </c>
      <c r="C77" s="17" t="inlineStr">
        <is>
          <t>Partner / Retailer</t>
        </is>
      </c>
      <c r="D77" s="17" t="inlineStr">
        <is>
          <t>Estero (EU)</t>
        </is>
      </c>
      <c r="E77" s="17" t="inlineStr">
        <is>
          <t>Alessandro Riva</t>
        </is>
      </c>
      <c r="F77" s="17" t="inlineStr">
        <is>
          <t>PMI</t>
        </is>
      </c>
      <c r="G77" s="17" t="inlineStr">
        <is>
          <t>Cloud &amp; Software</t>
        </is>
      </c>
      <c r="H77" s="17" t="inlineStr">
        <is>
          <t>AI-AGENT-MODULE</t>
        </is>
      </c>
      <c r="I77" s="19" t="n">
        <v>750</v>
      </c>
      <c r="J77" s="20" t="n">
        <v>5</v>
      </c>
      <c r="K77" s="21" t="n">
        <v>0.1</v>
      </c>
      <c r="L77" s="19">
        <f>I77*J77</f>
        <v/>
      </c>
      <c r="M77" s="19">
        <f>L77*K77</f>
        <v/>
      </c>
      <c r="N77" s="19">
        <f>L77-M77</f>
        <v/>
      </c>
      <c r="O77" s="19" t="n">
        <v>180</v>
      </c>
      <c r="P77" s="19">
        <f>O77*J77</f>
        <v/>
      </c>
      <c r="Q77" s="19">
        <f>N77-P77</f>
        <v/>
      </c>
      <c r="R77" s="21">
        <f>Q77/N77</f>
        <v/>
      </c>
    </row>
    <row r="78">
      <c r="A78" s="9" t="inlineStr">
        <is>
          <t>TRX-2025-0077</t>
        </is>
      </c>
      <c r="B78" s="13" t="inlineStr">
        <is>
          <t>2025-01-27</t>
        </is>
      </c>
      <c r="C78" s="9" t="inlineStr">
        <is>
          <t>E-commerce</t>
        </is>
      </c>
      <c r="D78" s="9" t="inlineStr">
        <is>
          <t>Sud &amp; Isole</t>
        </is>
      </c>
      <c r="E78" s="9" t="inlineStr">
        <is>
          <t>Elena Conti</t>
        </is>
      </c>
      <c r="F78" s="9" t="inlineStr">
        <is>
          <t>PMI</t>
        </is>
      </c>
      <c r="G78" s="9" t="inlineStr">
        <is>
          <t>Cloud &amp; Software</t>
        </is>
      </c>
      <c r="H78" s="9" t="inlineStr">
        <is>
          <t>AI-AGENT-MODULE</t>
        </is>
      </c>
      <c r="I78" s="14" t="n">
        <v>750</v>
      </c>
      <c r="J78" s="15" t="n">
        <v>15</v>
      </c>
      <c r="K78" s="16" t="n">
        <v>0</v>
      </c>
      <c r="L78" s="14">
        <f>I78*J78</f>
        <v/>
      </c>
      <c r="M78" s="14">
        <f>L78*K78</f>
        <v/>
      </c>
      <c r="N78" s="14">
        <f>L78-M78</f>
        <v/>
      </c>
      <c r="O78" s="14" t="n">
        <v>180</v>
      </c>
      <c r="P78" s="14">
        <f>O78*J78</f>
        <v/>
      </c>
      <c r="Q78" s="14">
        <f>N78-P78</f>
        <v/>
      </c>
      <c r="R78" s="16">
        <f>Q78/N78</f>
        <v/>
      </c>
    </row>
    <row r="79">
      <c r="A79" s="17" t="inlineStr">
        <is>
          <t>TRX-2026-0078</t>
        </is>
      </c>
      <c r="B79" s="18" t="inlineStr">
        <is>
          <t>2025-05-11</t>
        </is>
      </c>
      <c r="C79" s="17" t="inlineStr">
        <is>
          <t>Partner / Retailer</t>
        </is>
      </c>
      <c r="D79" s="17" t="inlineStr">
        <is>
          <t>Sud &amp; Isole</t>
        </is>
      </c>
      <c r="E79" s="17" t="inlineStr">
        <is>
          <t>Elena Conti</t>
        </is>
      </c>
      <c r="F79" s="17" t="inlineStr">
        <is>
          <t>Enterprise</t>
        </is>
      </c>
      <c r="G79" s="17" t="inlineStr">
        <is>
          <t>Cloud &amp; Software</t>
        </is>
      </c>
      <c r="H79" s="17" t="inlineStr">
        <is>
          <t>SaaS-PLATFORM-ENT</t>
        </is>
      </c>
      <c r="I79" s="19" t="n">
        <v>1200</v>
      </c>
      <c r="J79" s="20" t="n">
        <v>1</v>
      </c>
      <c r="K79" s="21" t="n">
        <v>0.1</v>
      </c>
      <c r="L79" s="19">
        <f>I79*J79</f>
        <v/>
      </c>
      <c r="M79" s="19">
        <f>L79*K79</f>
        <v/>
      </c>
      <c r="N79" s="19">
        <f>L79-M79</f>
        <v/>
      </c>
      <c r="O79" s="19" t="n">
        <v>320</v>
      </c>
      <c r="P79" s="19">
        <f>O79*J79</f>
        <v/>
      </c>
      <c r="Q79" s="19">
        <f>N79-P79</f>
        <v/>
      </c>
      <c r="R79" s="21">
        <f>Q79/N79</f>
        <v/>
      </c>
    </row>
    <row r="80">
      <c r="A80" s="9" t="inlineStr">
        <is>
          <t>TRX-2026-0079</t>
        </is>
      </c>
      <c r="B80" s="13" t="inlineStr">
        <is>
          <t>2025-04-12</t>
        </is>
      </c>
      <c r="C80" s="9" t="inlineStr">
        <is>
          <t>Partner / Retailer</t>
        </is>
      </c>
      <c r="D80" s="9" t="inlineStr">
        <is>
          <t>Nord-Ovest</t>
        </is>
      </c>
      <c r="E80" s="9" t="inlineStr">
        <is>
          <t>Roberto Moretti</t>
        </is>
      </c>
      <c r="F80" s="9" t="inlineStr">
        <is>
          <t>Professionisti / SOHO</t>
        </is>
      </c>
      <c r="G80" s="9" t="inlineStr">
        <is>
          <t>Hardware &amp; IoT</t>
        </is>
      </c>
      <c r="H80" s="9" t="inlineStr">
        <is>
          <t>GATEWAY-EDGE-PRO</t>
        </is>
      </c>
      <c r="I80" s="14" t="n">
        <v>890</v>
      </c>
      <c r="J80" s="15" t="n">
        <v>8</v>
      </c>
      <c r="K80" s="16" t="n">
        <v>0</v>
      </c>
      <c r="L80" s="14">
        <f>I80*J80</f>
        <v/>
      </c>
      <c r="M80" s="14">
        <f>L80*K80</f>
        <v/>
      </c>
      <c r="N80" s="14">
        <f>L80-M80</f>
        <v/>
      </c>
      <c r="O80" s="14" t="n">
        <v>520</v>
      </c>
      <c r="P80" s="14">
        <f>O80*J80</f>
        <v/>
      </c>
      <c r="Q80" s="14">
        <f>N80-P80</f>
        <v/>
      </c>
      <c r="R80" s="16">
        <f>Q80/N80</f>
        <v/>
      </c>
    </row>
    <row r="81">
      <c r="A81" s="17" t="inlineStr">
        <is>
          <t>TRX-2026-0080</t>
        </is>
      </c>
      <c r="B81" s="18" t="inlineStr">
        <is>
          <t>2025-11-15</t>
        </is>
      </c>
      <c r="C81" s="17" t="inlineStr">
        <is>
          <t>Partner / Retailer</t>
        </is>
      </c>
      <c r="D81" s="17" t="inlineStr">
        <is>
          <t>Sud &amp; Isole</t>
        </is>
      </c>
      <c r="E81" s="17" t="inlineStr">
        <is>
          <t>Alessandro Riva</t>
        </is>
      </c>
      <c r="F81" s="17" t="inlineStr">
        <is>
          <t>PMI</t>
        </is>
      </c>
      <c r="G81" s="17" t="inlineStr">
        <is>
          <t>Cloud &amp; Software</t>
        </is>
      </c>
      <c r="H81" s="17" t="inlineStr">
        <is>
          <t>SaaS-PLATFORM-ENT</t>
        </is>
      </c>
      <c r="I81" s="19" t="n">
        <v>1200</v>
      </c>
      <c r="J81" s="20" t="n">
        <v>5</v>
      </c>
      <c r="K81" s="21" t="n">
        <v>0.1</v>
      </c>
      <c r="L81" s="19">
        <f>I81*J81</f>
        <v/>
      </c>
      <c r="M81" s="19">
        <f>L81*K81</f>
        <v/>
      </c>
      <c r="N81" s="19">
        <f>L81-M81</f>
        <v/>
      </c>
      <c r="O81" s="19" t="n">
        <v>320</v>
      </c>
      <c r="P81" s="19">
        <f>O81*J81</f>
        <v/>
      </c>
      <c r="Q81" s="19">
        <f>N81-P81</f>
        <v/>
      </c>
      <c r="R81" s="21">
        <f>Q81/N81</f>
        <v/>
      </c>
    </row>
    <row r="82">
      <c r="A82" s="9" t="inlineStr">
        <is>
          <t>TRX-2025-0081</t>
        </is>
      </c>
      <c r="B82" s="13" t="inlineStr">
        <is>
          <t>2025-08-19</t>
        </is>
      </c>
      <c r="C82" s="9" t="inlineStr">
        <is>
          <t>B2B Diretto</t>
        </is>
      </c>
      <c r="D82" s="9" t="inlineStr">
        <is>
          <t>Nord-Ovest</t>
        </is>
      </c>
      <c r="E82" s="9" t="inlineStr">
        <is>
          <t>Giulia Bianchi</t>
        </is>
      </c>
      <c r="F82" s="9" t="inlineStr">
        <is>
          <t>Enterprise</t>
        </is>
      </c>
      <c r="G82" s="9" t="inlineStr">
        <is>
          <t>Consulenza &amp; Setup</t>
        </is>
      </c>
      <c r="H82" s="9" t="inlineStr">
        <is>
          <t>SECURITY-AUDIT</t>
        </is>
      </c>
      <c r="I82" s="14" t="n">
        <v>2200</v>
      </c>
      <c r="J82" s="15" t="n">
        <v>1</v>
      </c>
      <c r="K82" s="16" t="n">
        <v>0</v>
      </c>
      <c r="L82" s="14">
        <f>I82*J82</f>
        <v/>
      </c>
      <c r="M82" s="14">
        <f>L82*K82</f>
        <v/>
      </c>
      <c r="N82" s="14">
        <f>L82-M82</f>
        <v/>
      </c>
      <c r="O82" s="14" t="n">
        <v>950</v>
      </c>
      <c r="P82" s="14">
        <f>O82*J82</f>
        <v/>
      </c>
      <c r="Q82" s="14">
        <f>N82-P82</f>
        <v/>
      </c>
      <c r="R82" s="16">
        <f>Q82/N82</f>
        <v/>
      </c>
    </row>
    <row r="83">
      <c r="A83" s="17" t="inlineStr">
        <is>
          <t>TRX-2026-0082</t>
        </is>
      </c>
      <c r="B83" s="18" t="inlineStr">
        <is>
          <t>2026-05-11</t>
        </is>
      </c>
      <c r="C83" s="17" t="inlineStr">
        <is>
          <t>B2B Diretto</t>
        </is>
      </c>
      <c r="D83" s="17" t="inlineStr">
        <is>
          <t>Nord-Est</t>
        </is>
      </c>
      <c r="E83" s="17" t="inlineStr">
        <is>
          <t>Alessandro Riva</t>
        </is>
      </c>
      <c r="F83" s="17" t="inlineStr">
        <is>
          <t>PMI</t>
        </is>
      </c>
      <c r="G83" s="17" t="inlineStr">
        <is>
          <t>Consulenza &amp; Setup</t>
        </is>
      </c>
      <c r="H83" s="17" t="inlineStr">
        <is>
          <t>TRAINING-ONBOARDING</t>
        </is>
      </c>
      <c r="I83" s="19" t="n">
        <v>800</v>
      </c>
      <c r="J83" s="20" t="n">
        <v>1</v>
      </c>
      <c r="K83" s="21" t="n">
        <v>0</v>
      </c>
      <c r="L83" s="19">
        <f>I83*J83</f>
        <v/>
      </c>
      <c r="M83" s="19">
        <f>L83*K83</f>
        <v/>
      </c>
      <c r="N83" s="19">
        <f>L83-M83</f>
        <v/>
      </c>
      <c r="O83" s="19" t="n">
        <v>350</v>
      </c>
      <c r="P83" s="19">
        <f>O83*J83</f>
        <v/>
      </c>
      <c r="Q83" s="19">
        <f>N83-P83</f>
        <v/>
      </c>
      <c r="R83" s="21">
        <f>Q83/N83</f>
        <v/>
      </c>
    </row>
    <row r="84">
      <c r="A84" s="9" t="inlineStr">
        <is>
          <t>TRX-2026-0083</t>
        </is>
      </c>
      <c r="B84" s="13" t="inlineStr">
        <is>
          <t>2025-08-05</t>
        </is>
      </c>
      <c r="C84" s="9" t="inlineStr">
        <is>
          <t>B2B Diretto</t>
        </is>
      </c>
      <c r="D84" s="9" t="inlineStr">
        <is>
          <t>Estero (EU)</t>
        </is>
      </c>
      <c r="E84" s="9" t="inlineStr">
        <is>
          <t>Giulia Bianchi</t>
        </is>
      </c>
      <c r="F84" s="9" t="inlineStr">
        <is>
          <t>PMI</t>
        </is>
      </c>
      <c r="G84" s="9" t="inlineStr">
        <is>
          <t>Hardware &amp; IoT</t>
        </is>
      </c>
      <c r="H84" s="9" t="inlineStr">
        <is>
          <t>SENSOR-IOT-PACK</t>
        </is>
      </c>
      <c r="I84" s="14" t="n">
        <v>290</v>
      </c>
      <c r="J84" s="15" t="n">
        <v>8</v>
      </c>
      <c r="K84" s="16" t="n">
        <v>0</v>
      </c>
      <c r="L84" s="14">
        <f>I84*J84</f>
        <v/>
      </c>
      <c r="M84" s="14">
        <f>L84*K84</f>
        <v/>
      </c>
      <c r="N84" s="14">
        <f>L84-M84</f>
        <v/>
      </c>
      <c r="O84" s="14" t="n">
        <v>140</v>
      </c>
      <c r="P84" s="14">
        <f>O84*J84</f>
        <v/>
      </c>
      <c r="Q84" s="14">
        <f>N84-P84</f>
        <v/>
      </c>
      <c r="R84" s="16">
        <f>Q84/N84</f>
        <v/>
      </c>
    </row>
    <row r="85">
      <c r="A85" s="17" t="inlineStr">
        <is>
          <t>TRX-2025-0084</t>
        </is>
      </c>
      <c r="B85" s="18" t="inlineStr">
        <is>
          <t>2025-11-25</t>
        </is>
      </c>
      <c r="C85" s="17" t="inlineStr">
        <is>
          <t>E-commerce</t>
        </is>
      </c>
      <c r="D85" s="17" t="inlineStr">
        <is>
          <t>Estero (EU)</t>
        </is>
      </c>
      <c r="E85" s="17" t="inlineStr">
        <is>
          <t>Alessandro Riva</t>
        </is>
      </c>
      <c r="F85" s="17" t="inlineStr">
        <is>
          <t>PMI</t>
        </is>
      </c>
      <c r="G85" s="17" t="inlineStr">
        <is>
          <t>Consulenza &amp; Setup</t>
        </is>
      </c>
      <c r="H85" s="17" t="inlineStr">
        <is>
          <t>TRAINING-ONBOARDING</t>
        </is>
      </c>
      <c r="I85" s="19" t="n">
        <v>800</v>
      </c>
      <c r="J85" s="20" t="n">
        <v>5</v>
      </c>
      <c r="K85" s="21" t="n">
        <v>0.1</v>
      </c>
      <c r="L85" s="19">
        <f>I85*J85</f>
        <v/>
      </c>
      <c r="M85" s="19">
        <f>L85*K85</f>
        <v/>
      </c>
      <c r="N85" s="19">
        <f>L85-M85</f>
        <v/>
      </c>
      <c r="O85" s="19" t="n">
        <v>350</v>
      </c>
      <c r="P85" s="19">
        <f>O85*J85</f>
        <v/>
      </c>
      <c r="Q85" s="19">
        <f>N85-P85</f>
        <v/>
      </c>
      <c r="R85" s="21">
        <f>Q85/N85</f>
        <v/>
      </c>
    </row>
    <row r="86">
      <c r="A86" s="9" t="inlineStr">
        <is>
          <t>TRX-2026-0085</t>
        </is>
      </c>
      <c r="B86" s="13" t="inlineStr">
        <is>
          <t>2026-06-11</t>
        </is>
      </c>
      <c r="C86" s="9" t="inlineStr">
        <is>
          <t>E-commerce</t>
        </is>
      </c>
      <c r="D86" s="9" t="inlineStr">
        <is>
          <t>Sud &amp; Isole</t>
        </is>
      </c>
      <c r="E86" s="9" t="inlineStr">
        <is>
          <t>Marco Rossi</t>
        </is>
      </c>
      <c r="F86" s="9" t="inlineStr">
        <is>
          <t>PMI</t>
        </is>
      </c>
      <c r="G86" s="9" t="inlineStr">
        <is>
          <t>Consulenza &amp; Setup</t>
        </is>
      </c>
      <c r="H86" s="9" t="inlineStr">
        <is>
          <t>SETUP-INTEGRATION</t>
        </is>
      </c>
      <c r="I86" s="14" t="n">
        <v>1500</v>
      </c>
      <c r="J86" s="15" t="n">
        <v>5</v>
      </c>
      <c r="K86" s="16" t="n">
        <v>0.05</v>
      </c>
      <c r="L86" s="14">
        <f>I86*J86</f>
        <v/>
      </c>
      <c r="M86" s="14">
        <f>L86*K86</f>
        <v/>
      </c>
      <c r="N86" s="14">
        <f>L86-M86</f>
        <v/>
      </c>
      <c r="O86" s="14" t="n">
        <v>650</v>
      </c>
      <c r="P86" s="14">
        <f>O86*J86</f>
        <v/>
      </c>
      <c r="Q86" s="14">
        <f>N86-P86</f>
        <v/>
      </c>
      <c r="R86" s="16">
        <f>Q86/N86</f>
        <v/>
      </c>
    </row>
    <row r="87">
      <c r="A87" s="17" t="inlineStr">
        <is>
          <t>TRX-2025-0086</t>
        </is>
      </c>
      <c r="B87" s="18" t="inlineStr">
        <is>
          <t>2025-04-18</t>
        </is>
      </c>
      <c r="C87" s="17" t="inlineStr">
        <is>
          <t>B2B Diretto</t>
        </is>
      </c>
      <c r="D87" s="17" t="inlineStr">
        <is>
          <t>Estero (EU)</t>
        </is>
      </c>
      <c r="E87" s="17" t="inlineStr">
        <is>
          <t>Roberto Moretti</t>
        </is>
      </c>
      <c r="F87" s="17" t="inlineStr">
        <is>
          <t>Pubblica Amministrazione</t>
        </is>
      </c>
      <c r="G87" s="17" t="inlineStr">
        <is>
          <t>Hardware &amp; IoT</t>
        </is>
      </c>
      <c r="H87" s="17" t="inlineStr">
        <is>
          <t>SENSOR-IOT-PACK</t>
        </is>
      </c>
      <c r="I87" s="19" t="n">
        <v>290</v>
      </c>
      <c r="J87" s="20" t="n">
        <v>3</v>
      </c>
      <c r="K87" s="21" t="n">
        <v>0.1</v>
      </c>
      <c r="L87" s="19">
        <f>I87*J87</f>
        <v/>
      </c>
      <c r="M87" s="19">
        <f>L87*K87</f>
        <v/>
      </c>
      <c r="N87" s="19">
        <f>L87-M87</f>
        <v/>
      </c>
      <c r="O87" s="19" t="n">
        <v>140</v>
      </c>
      <c r="P87" s="19">
        <f>O87*J87</f>
        <v/>
      </c>
      <c r="Q87" s="19">
        <f>N87-P87</f>
        <v/>
      </c>
      <c r="R87" s="21">
        <f>Q87/N87</f>
        <v/>
      </c>
    </row>
    <row r="88">
      <c r="A88" s="9" t="inlineStr">
        <is>
          <t>TRX-2025-0087</t>
        </is>
      </c>
      <c r="B88" s="13" t="inlineStr">
        <is>
          <t>2026-05-11</t>
        </is>
      </c>
      <c r="C88" s="9" t="inlineStr">
        <is>
          <t>E-commerce</t>
        </is>
      </c>
      <c r="D88" s="9" t="inlineStr">
        <is>
          <t>Sud &amp; Isole</t>
        </is>
      </c>
      <c r="E88" s="9" t="inlineStr">
        <is>
          <t>Alessandro Riva</t>
        </is>
      </c>
      <c r="F88" s="9" t="inlineStr">
        <is>
          <t>Enterprise</t>
        </is>
      </c>
      <c r="G88" s="9" t="inlineStr">
        <is>
          <t>Consulenza &amp; Setup</t>
        </is>
      </c>
      <c r="H88" s="9" t="inlineStr">
        <is>
          <t>SETUP-INTEGRATION</t>
        </is>
      </c>
      <c r="I88" s="14" t="n">
        <v>1500</v>
      </c>
      <c r="J88" s="15" t="n">
        <v>5</v>
      </c>
      <c r="K88" s="16" t="n">
        <v>0.05</v>
      </c>
      <c r="L88" s="14">
        <f>I88*J88</f>
        <v/>
      </c>
      <c r="M88" s="14">
        <f>L88*K88</f>
        <v/>
      </c>
      <c r="N88" s="14">
        <f>L88-M88</f>
        <v/>
      </c>
      <c r="O88" s="14" t="n">
        <v>650</v>
      </c>
      <c r="P88" s="14">
        <f>O88*J88</f>
        <v/>
      </c>
      <c r="Q88" s="14">
        <f>N88-P88</f>
        <v/>
      </c>
      <c r="R88" s="16">
        <f>Q88/N88</f>
        <v/>
      </c>
    </row>
    <row r="89">
      <c r="A89" s="17" t="inlineStr">
        <is>
          <t>TRX-2025-0088</t>
        </is>
      </c>
      <c r="B89" s="18" t="inlineStr">
        <is>
          <t>2026-05-11</t>
        </is>
      </c>
      <c r="C89" s="17" t="inlineStr">
        <is>
          <t>B2B Diretto</t>
        </is>
      </c>
      <c r="D89" s="17" t="inlineStr">
        <is>
          <t>Centro</t>
        </is>
      </c>
      <c r="E89" s="17" t="inlineStr">
        <is>
          <t>Alessandro Riva</t>
        </is>
      </c>
      <c r="F89" s="17" t="inlineStr">
        <is>
          <t>PMI</t>
        </is>
      </c>
      <c r="G89" s="17" t="inlineStr">
        <is>
          <t>Cloud &amp; Software</t>
        </is>
      </c>
      <c r="H89" s="17" t="inlineStr">
        <is>
          <t>AI-AGENT-MODULE</t>
        </is>
      </c>
      <c r="I89" s="19" t="n">
        <v>750</v>
      </c>
      <c r="J89" s="20" t="n">
        <v>2</v>
      </c>
      <c r="K89" s="21" t="n">
        <v>0.1</v>
      </c>
      <c r="L89" s="19">
        <f>I89*J89</f>
        <v/>
      </c>
      <c r="M89" s="19">
        <f>L89*K89</f>
        <v/>
      </c>
      <c r="N89" s="19">
        <f>L89-M89</f>
        <v/>
      </c>
      <c r="O89" s="19" t="n">
        <v>180</v>
      </c>
      <c r="P89" s="19">
        <f>O89*J89</f>
        <v/>
      </c>
      <c r="Q89" s="19">
        <f>N89-P89</f>
        <v/>
      </c>
      <c r="R89" s="21">
        <f>Q89/N89</f>
        <v/>
      </c>
    </row>
    <row r="90">
      <c r="A90" s="9" t="inlineStr">
        <is>
          <t>TRX-2026-0089</t>
        </is>
      </c>
      <c r="B90" s="13" t="inlineStr">
        <is>
          <t>2026-03-01</t>
        </is>
      </c>
      <c r="C90" s="9" t="inlineStr">
        <is>
          <t>Partner / Retailer</t>
        </is>
      </c>
      <c r="D90" s="9" t="inlineStr">
        <is>
          <t>Estero (EU)</t>
        </is>
      </c>
      <c r="E90" s="9" t="inlineStr">
        <is>
          <t>Marco Rossi</t>
        </is>
      </c>
      <c r="F90" s="9" t="inlineStr">
        <is>
          <t>PMI</t>
        </is>
      </c>
      <c r="G90" s="9" t="inlineStr">
        <is>
          <t>Hardware &amp; IoT</t>
        </is>
      </c>
      <c r="H90" s="9" t="inlineStr">
        <is>
          <t>TERMINAL-SMART-V2</t>
        </is>
      </c>
      <c r="I90" s="14" t="n">
        <v>640</v>
      </c>
      <c r="J90" s="15" t="n">
        <v>2</v>
      </c>
      <c r="K90" s="16" t="n">
        <v>0</v>
      </c>
      <c r="L90" s="14">
        <f>I90*J90</f>
        <v/>
      </c>
      <c r="M90" s="14">
        <f>L90*K90</f>
        <v/>
      </c>
      <c r="N90" s="14">
        <f>L90-M90</f>
        <v/>
      </c>
      <c r="O90" s="14" t="n">
        <v>380</v>
      </c>
      <c r="P90" s="14">
        <f>O90*J90</f>
        <v/>
      </c>
      <c r="Q90" s="14">
        <f>N90-P90</f>
        <v/>
      </c>
      <c r="R90" s="16">
        <f>Q90/N90</f>
        <v/>
      </c>
    </row>
    <row r="91">
      <c r="A91" s="17" t="inlineStr">
        <is>
          <t>TRX-2026-0090</t>
        </is>
      </c>
      <c r="B91" s="18" t="inlineStr">
        <is>
          <t>2026-06-25</t>
        </is>
      </c>
      <c r="C91" s="17" t="inlineStr">
        <is>
          <t>Partner / Retailer</t>
        </is>
      </c>
      <c r="D91" s="17" t="inlineStr">
        <is>
          <t>Nord-Ovest</t>
        </is>
      </c>
      <c r="E91" s="17" t="inlineStr">
        <is>
          <t>Roberto Moretti</t>
        </is>
      </c>
      <c r="F91" s="17" t="inlineStr">
        <is>
          <t>PMI</t>
        </is>
      </c>
      <c r="G91" s="17" t="inlineStr">
        <is>
          <t>Cloud &amp; Software</t>
        </is>
      </c>
      <c r="H91" s="17" t="inlineStr">
        <is>
          <t>SaaS-PLATFORM-ENT</t>
        </is>
      </c>
      <c r="I91" s="19" t="n">
        <v>1200</v>
      </c>
      <c r="J91" s="20" t="n">
        <v>1</v>
      </c>
      <c r="K91" s="21" t="n">
        <v>0</v>
      </c>
      <c r="L91" s="19">
        <f>I91*J91</f>
        <v/>
      </c>
      <c r="M91" s="19">
        <f>L91*K91</f>
        <v/>
      </c>
      <c r="N91" s="19">
        <f>L91-M91</f>
        <v/>
      </c>
      <c r="O91" s="19" t="n">
        <v>320</v>
      </c>
      <c r="P91" s="19">
        <f>O91*J91</f>
        <v/>
      </c>
      <c r="Q91" s="19">
        <f>N91-P91</f>
        <v/>
      </c>
      <c r="R91" s="21">
        <f>Q91/N91</f>
        <v/>
      </c>
    </row>
    <row r="92">
      <c r="A92" s="9" t="inlineStr">
        <is>
          <t>TRX-2026-0091</t>
        </is>
      </c>
      <c r="B92" s="13" t="inlineStr">
        <is>
          <t>2026-04-12</t>
        </is>
      </c>
      <c r="C92" s="9" t="inlineStr">
        <is>
          <t>E-commerce</t>
        </is>
      </c>
      <c r="D92" s="9" t="inlineStr">
        <is>
          <t>Nord-Est</t>
        </is>
      </c>
      <c r="E92" s="9" t="inlineStr">
        <is>
          <t>Alessandro Riva</t>
        </is>
      </c>
      <c r="F92" s="9" t="inlineStr">
        <is>
          <t>PMI</t>
        </is>
      </c>
      <c r="G92" s="9" t="inlineStr">
        <is>
          <t>Hardware &amp; IoT</t>
        </is>
      </c>
      <c r="H92" s="9" t="inlineStr">
        <is>
          <t>SENSOR-IOT-PACK</t>
        </is>
      </c>
      <c r="I92" s="14" t="n">
        <v>290</v>
      </c>
      <c r="J92" s="15" t="n">
        <v>2</v>
      </c>
      <c r="K92" s="16" t="n">
        <v>0.1</v>
      </c>
      <c r="L92" s="14">
        <f>I92*J92</f>
        <v/>
      </c>
      <c r="M92" s="14">
        <f>L92*K92</f>
        <v/>
      </c>
      <c r="N92" s="14">
        <f>L92-M92</f>
        <v/>
      </c>
      <c r="O92" s="14" t="n">
        <v>140</v>
      </c>
      <c r="P92" s="14">
        <f>O92*J92</f>
        <v/>
      </c>
      <c r="Q92" s="14">
        <f>N92-P92</f>
        <v/>
      </c>
      <c r="R92" s="16">
        <f>Q92/N92</f>
        <v/>
      </c>
    </row>
    <row r="93">
      <c r="A93" s="17" t="inlineStr">
        <is>
          <t>TRX-2025-0092</t>
        </is>
      </c>
      <c r="B93" s="18" t="inlineStr">
        <is>
          <t>2025-02-13</t>
        </is>
      </c>
      <c r="C93" s="17" t="inlineStr">
        <is>
          <t>Partner / Retailer</t>
        </is>
      </c>
      <c r="D93" s="17" t="inlineStr">
        <is>
          <t>Estero (EU)</t>
        </is>
      </c>
      <c r="E93" s="17" t="inlineStr">
        <is>
          <t>Giulia Bianchi</t>
        </is>
      </c>
      <c r="F93" s="17" t="inlineStr">
        <is>
          <t>PMI</t>
        </is>
      </c>
      <c r="G93" s="17" t="inlineStr">
        <is>
          <t>Hardware &amp; IoT</t>
        </is>
      </c>
      <c r="H93" s="17" t="inlineStr">
        <is>
          <t>SENSOR-IOT-PACK</t>
        </is>
      </c>
      <c r="I93" s="19" t="n">
        <v>290</v>
      </c>
      <c r="J93" s="20" t="n">
        <v>3</v>
      </c>
      <c r="K93" s="21" t="n">
        <v>0.05</v>
      </c>
      <c r="L93" s="19">
        <f>I93*J93</f>
        <v/>
      </c>
      <c r="M93" s="19">
        <f>L93*K93</f>
        <v/>
      </c>
      <c r="N93" s="19">
        <f>L93-M93</f>
        <v/>
      </c>
      <c r="O93" s="19" t="n">
        <v>140</v>
      </c>
      <c r="P93" s="19">
        <f>O93*J93</f>
        <v/>
      </c>
      <c r="Q93" s="19">
        <f>N93-P93</f>
        <v/>
      </c>
      <c r="R93" s="21">
        <f>Q93/N93</f>
        <v/>
      </c>
    </row>
    <row r="94">
      <c r="A94" s="9" t="inlineStr">
        <is>
          <t>TRX-2025-0093</t>
        </is>
      </c>
      <c r="B94" s="13" t="inlineStr">
        <is>
          <t>2025-09-02</t>
        </is>
      </c>
      <c r="C94" s="9" t="inlineStr">
        <is>
          <t>Partner / Retailer</t>
        </is>
      </c>
      <c r="D94" s="9" t="inlineStr">
        <is>
          <t>Nord-Ovest</t>
        </is>
      </c>
      <c r="E94" s="9" t="inlineStr">
        <is>
          <t>Elena Conti</t>
        </is>
      </c>
      <c r="F94" s="9" t="inlineStr">
        <is>
          <t>Pubblica Amministrazione</t>
        </is>
      </c>
      <c r="G94" s="9" t="inlineStr">
        <is>
          <t>Cloud &amp; Software</t>
        </is>
      </c>
      <c r="H94" s="9" t="inlineStr">
        <is>
          <t>AI-AGENT-MODULE</t>
        </is>
      </c>
      <c r="I94" s="14" t="n">
        <v>750</v>
      </c>
      <c r="J94" s="15" t="n">
        <v>3</v>
      </c>
      <c r="K94" s="16" t="n">
        <v>0.1</v>
      </c>
      <c r="L94" s="14">
        <f>I94*J94</f>
        <v/>
      </c>
      <c r="M94" s="14">
        <f>L94*K94</f>
        <v/>
      </c>
      <c r="N94" s="14">
        <f>L94-M94</f>
        <v/>
      </c>
      <c r="O94" s="14" t="n">
        <v>180</v>
      </c>
      <c r="P94" s="14">
        <f>O94*J94</f>
        <v/>
      </c>
      <c r="Q94" s="14">
        <f>N94-P94</f>
        <v/>
      </c>
      <c r="R94" s="16">
        <f>Q94/N94</f>
        <v/>
      </c>
    </row>
    <row r="95">
      <c r="A95" s="17" t="inlineStr">
        <is>
          <t>TRX-2026-0094</t>
        </is>
      </c>
      <c r="B95" s="18" t="inlineStr">
        <is>
          <t>2026-03-16</t>
        </is>
      </c>
      <c r="C95" s="17" t="inlineStr">
        <is>
          <t>Partner / Retailer</t>
        </is>
      </c>
      <c r="D95" s="17" t="inlineStr">
        <is>
          <t>Sud &amp; Isole</t>
        </is>
      </c>
      <c r="E95" s="17" t="inlineStr">
        <is>
          <t>Giulia Bianchi</t>
        </is>
      </c>
      <c r="F95" s="17" t="inlineStr">
        <is>
          <t>PMI</t>
        </is>
      </c>
      <c r="G95" s="17" t="inlineStr">
        <is>
          <t>Cloud &amp; Software</t>
        </is>
      </c>
      <c r="H95" s="17" t="inlineStr">
        <is>
          <t>AI-AGENT-MODULE</t>
        </is>
      </c>
      <c r="I95" s="19" t="n">
        <v>750</v>
      </c>
      <c r="J95" s="20" t="n">
        <v>2</v>
      </c>
      <c r="K95" s="21" t="n">
        <v>0.15</v>
      </c>
      <c r="L95" s="19">
        <f>I95*J95</f>
        <v/>
      </c>
      <c r="M95" s="19">
        <f>L95*K95</f>
        <v/>
      </c>
      <c r="N95" s="19">
        <f>L95-M95</f>
        <v/>
      </c>
      <c r="O95" s="19" t="n">
        <v>180</v>
      </c>
      <c r="P95" s="19">
        <f>O95*J95</f>
        <v/>
      </c>
      <c r="Q95" s="19">
        <f>N95-P95</f>
        <v/>
      </c>
      <c r="R95" s="21">
        <f>Q95/N95</f>
        <v/>
      </c>
    </row>
    <row r="96">
      <c r="A96" s="9" t="inlineStr">
        <is>
          <t>TRX-2025-0095</t>
        </is>
      </c>
      <c r="B96" s="13" t="inlineStr">
        <is>
          <t>2025-03-27</t>
        </is>
      </c>
      <c r="C96" s="9" t="inlineStr">
        <is>
          <t>B2B Diretto</t>
        </is>
      </c>
      <c r="D96" s="9" t="inlineStr">
        <is>
          <t>Sud &amp; Isole</t>
        </is>
      </c>
      <c r="E96" s="9" t="inlineStr">
        <is>
          <t>Alessandro Riva</t>
        </is>
      </c>
      <c r="F96" s="9" t="inlineStr">
        <is>
          <t>Pubblica Amministrazione</t>
        </is>
      </c>
      <c r="G96" s="9" t="inlineStr">
        <is>
          <t>Consulenza &amp; Setup</t>
        </is>
      </c>
      <c r="H96" s="9" t="inlineStr">
        <is>
          <t>SECURITY-AUDIT</t>
        </is>
      </c>
      <c r="I96" s="14" t="n">
        <v>2200</v>
      </c>
      <c r="J96" s="15" t="n">
        <v>2</v>
      </c>
      <c r="K96" s="16" t="n">
        <v>0</v>
      </c>
      <c r="L96" s="14">
        <f>I96*J96</f>
        <v/>
      </c>
      <c r="M96" s="14">
        <f>L96*K96</f>
        <v/>
      </c>
      <c r="N96" s="14">
        <f>L96-M96</f>
        <v/>
      </c>
      <c r="O96" s="14" t="n">
        <v>950</v>
      </c>
      <c r="P96" s="14">
        <f>O96*J96</f>
        <v/>
      </c>
      <c r="Q96" s="14">
        <f>N96-P96</f>
        <v/>
      </c>
      <c r="R96" s="16">
        <f>Q96/N96</f>
        <v/>
      </c>
    </row>
    <row r="97">
      <c r="A97" s="17" t="inlineStr">
        <is>
          <t>TRX-2026-0096</t>
        </is>
      </c>
      <c r="B97" s="18" t="inlineStr">
        <is>
          <t>2026-05-31</t>
        </is>
      </c>
      <c r="C97" s="17" t="inlineStr">
        <is>
          <t>Partner / Retailer</t>
        </is>
      </c>
      <c r="D97" s="17" t="inlineStr">
        <is>
          <t>Sud &amp; Isole</t>
        </is>
      </c>
      <c r="E97" s="17" t="inlineStr">
        <is>
          <t>Roberto Moretti</t>
        </is>
      </c>
      <c r="F97" s="17" t="inlineStr">
        <is>
          <t>PMI</t>
        </is>
      </c>
      <c r="G97" s="17" t="inlineStr">
        <is>
          <t>Hardware &amp; IoT</t>
        </is>
      </c>
      <c r="H97" s="17" t="inlineStr">
        <is>
          <t>TERMINAL-SMART-V2</t>
        </is>
      </c>
      <c r="I97" s="19" t="n">
        <v>640</v>
      </c>
      <c r="J97" s="20" t="n">
        <v>3</v>
      </c>
      <c r="K97" s="21" t="n">
        <v>0.05</v>
      </c>
      <c r="L97" s="19">
        <f>I97*J97</f>
        <v/>
      </c>
      <c r="M97" s="19">
        <f>L97*K97</f>
        <v/>
      </c>
      <c r="N97" s="19">
        <f>L97-M97</f>
        <v/>
      </c>
      <c r="O97" s="19" t="n">
        <v>380</v>
      </c>
      <c r="P97" s="19">
        <f>O97*J97</f>
        <v/>
      </c>
      <c r="Q97" s="19">
        <f>N97-P97</f>
        <v/>
      </c>
      <c r="R97" s="21">
        <f>Q97/N97</f>
        <v/>
      </c>
    </row>
    <row r="98">
      <c r="A98" s="9" t="inlineStr">
        <is>
          <t>TRX-2026-0097</t>
        </is>
      </c>
      <c r="B98" s="13" t="inlineStr">
        <is>
          <t>2025-12-10</t>
        </is>
      </c>
      <c r="C98" s="9" t="inlineStr">
        <is>
          <t>Partner / Retailer</t>
        </is>
      </c>
      <c r="D98" s="9" t="inlineStr">
        <is>
          <t>Nord-Est</t>
        </is>
      </c>
      <c r="E98" s="9" t="inlineStr">
        <is>
          <t>Roberto Moretti</t>
        </is>
      </c>
      <c r="F98" s="9" t="inlineStr">
        <is>
          <t>PMI</t>
        </is>
      </c>
      <c r="G98" s="9" t="inlineStr">
        <is>
          <t>Consulenza &amp; Setup</t>
        </is>
      </c>
      <c r="H98" s="9" t="inlineStr">
        <is>
          <t>SETUP-INTEGRATION</t>
        </is>
      </c>
      <c r="I98" s="14" t="n">
        <v>1500</v>
      </c>
      <c r="J98" s="15" t="n">
        <v>1</v>
      </c>
      <c r="K98" s="16" t="n">
        <v>0.1</v>
      </c>
      <c r="L98" s="14">
        <f>I98*J98</f>
        <v/>
      </c>
      <c r="M98" s="14">
        <f>L98*K98</f>
        <v/>
      </c>
      <c r="N98" s="14">
        <f>L98-M98</f>
        <v/>
      </c>
      <c r="O98" s="14" t="n">
        <v>650</v>
      </c>
      <c r="P98" s="14">
        <f>O98*J98</f>
        <v/>
      </c>
      <c r="Q98" s="14">
        <f>N98-P98</f>
        <v/>
      </c>
      <c r="R98" s="16">
        <f>Q98/N98</f>
        <v/>
      </c>
    </row>
    <row r="99">
      <c r="A99" s="17" t="inlineStr">
        <is>
          <t>TRX-2026-0098</t>
        </is>
      </c>
      <c r="B99" s="18" t="inlineStr">
        <is>
          <t>2026-02-14</t>
        </is>
      </c>
      <c r="C99" s="17" t="inlineStr">
        <is>
          <t>Partner / Retailer</t>
        </is>
      </c>
      <c r="D99" s="17" t="inlineStr">
        <is>
          <t>Nord-Est</t>
        </is>
      </c>
      <c r="E99" s="17" t="inlineStr">
        <is>
          <t>Elena Conti</t>
        </is>
      </c>
      <c r="F99" s="17" t="inlineStr">
        <is>
          <t>Pubblica Amministrazione</t>
        </is>
      </c>
      <c r="G99" s="17" t="inlineStr">
        <is>
          <t>Cloud &amp; Software</t>
        </is>
      </c>
      <c r="H99" s="17" t="inlineStr">
        <is>
          <t>AI-AGENT-MODULE</t>
        </is>
      </c>
      <c r="I99" s="19" t="n">
        <v>750</v>
      </c>
      <c r="J99" s="20" t="n">
        <v>3</v>
      </c>
      <c r="K99" s="21" t="n">
        <v>0.05</v>
      </c>
      <c r="L99" s="19">
        <f>I99*J99</f>
        <v/>
      </c>
      <c r="M99" s="19">
        <f>L99*K99</f>
        <v/>
      </c>
      <c r="N99" s="19">
        <f>L99-M99</f>
        <v/>
      </c>
      <c r="O99" s="19" t="n">
        <v>180</v>
      </c>
      <c r="P99" s="19">
        <f>O99*J99</f>
        <v/>
      </c>
      <c r="Q99" s="19">
        <f>N99-P99</f>
        <v/>
      </c>
      <c r="R99" s="21">
        <f>Q99/N99</f>
        <v/>
      </c>
    </row>
    <row r="100">
      <c r="A100" s="9" t="inlineStr">
        <is>
          <t>TRX-2025-0099</t>
        </is>
      </c>
      <c r="B100" s="13" t="inlineStr">
        <is>
          <t>2026-04-10</t>
        </is>
      </c>
      <c r="C100" s="9" t="inlineStr">
        <is>
          <t>B2B Diretto</t>
        </is>
      </c>
      <c r="D100" s="9" t="inlineStr">
        <is>
          <t>Sud &amp; Isole</t>
        </is>
      </c>
      <c r="E100" s="9" t="inlineStr">
        <is>
          <t>Marco Rossi</t>
        </is>
      </c>
      <c r="F100" s="9" t="inlineStr">
        <is>
          <t>PMI</t>
        </is>
      </c>
      <c r="G100" s="9" t="inlineStr">
        <is>
          <t>Consulenza &amp; Setup</t>
        </is>
      </c>
      <c r="H100" s="9" t="inlineStr">
        <is>
          <t>SETUP-INTEGRATION</t>
        </is>
      </c>
      <c r="I100" s="14" t="n">
        <v>1500</v>
      </c>
      <c r="J100" s="15" t="n">
        <v>10</v>
      </c>
      <c r="K100" s="16" t="n">
        <v>0.2</v>
      </c>
      <c r="L100" s="14">
        <f>I100*J100</f>
        <v/>
      </c>
      <c r="M100" s="14">
        <f>L100*K100</f>
        <v/>
      </c>
      <c r="N100" s="14">
        <f>L100-M100</f>
        <v/>
      </c>
      <c r="O100" s="14" t="n">
        <v>650</v>
      </c>
      <c r="P100" s="14">
        <f>O100*J100</f>
        <v/>
      </c>
      <c r="Q100" s="14">
        <f>N100-P100</f>
        <v/>
      </c>
      <c r="R100" s="16">
        <f>Q100/N100</f>
        <v/>
      </c>
    </row>
    <row r="101">
      <c r="A101" s="17" t="inlineStr">
        <is>
          <t>TRX-2025-0100</t>
        </is>
      </c>
      <c r="B101" s="18" t="inlineStr">
        <is>
          <t>2026-05-10</t>
        </is>
      </c>
      <c r="C101" s="17" t="inlineStr">
        <is>
          <t>E-commerce</t>
        </is>
      </c>
      <c r="D101" s="17" t="inlineStr">
        <is>
          <t>Centro</t>
        </is>
      </c>
      <c r="E101" s="17" t="inlineStr">
        <is>
          <t>Alessandro Riva</t>
        </is>
      </c>
      <c r="F101" s="17" t="inlineStr">
        <is>
          <t>PMI</t>
        </is>
      </c>
      <c r="G101" s="17" t="inlineStr">
        <is>
          <t>Consulenza &amp; Setup</t>
        </is>
      </c>
      <c r="H101" s="17" t="inlineStr">
        <is>
          <t>SETUP-INTEGRATION</t>
        </is>
      </c>
      <c r="I101" s="19" t="n">
        <v>1500</v>
      </c>
      <c r="J101" s="20" t="n">
        <v>5</v>
      </c>
      <c r="K101" s="21" t="n">
        <v>0.15</v>
      </c>
      <c r="L101" s="19">
        <f>I101*J101</f>
        <v/>
      </c>
      <c r="M101" s="19">
        <f>L101*K101</f>
        <v/>
      </c>
      <c r="N101" s="19">
        <f>L101-M101</f>
        <v/>
      </c>
      <c r="O101" s="19" t="n">
        <v>650</v>
      </c>
      <c r="P101" s="19">
        <f>O101*J101</f>
        <v/>
      </c>
      <c r="Q101" s="19">
        <f>N101-P101</f>
        <v/>
      </c>
      <c r="R101" s="21">
        <f>Q101/N101</f>
        <v/>
      </c>
    </row>
    <row r="102">
      <c r="A102" s="9" t="inlineStr">
        <is>
          <t>TRX-2026-0101</t>
        </is>
      </c>
      <c r="B102" s="13" t="inlineStr">
        <is>
          <t>2025-12-05</t>
        </is>
      </c>
      <c r="C102" s="9" t="inlineStr">
        <is>
          <t>E-commerce</t>
        </is>
      </c>
      <c r="D102" s="9" t="inlineStr">
        <is>
          <t>Sud &amp; Isole</t>
        </is>
      </c>
      <c r="E102" s="9" t="inlineStr">
        <is>
          <t>Roberto Moretti</t>
        </is>
      </c>
      <c r="F102" s="9" t="inlineStr">
        <is>
          <t>Enterprise</t>
        </is>
      </c>
      <c r="G102" s="9" t="inlineStr">
        <is>
          <t>Cloud &amp; Software</t>
        </is>
      </c>
      <c r="H102" s="9" t="inlineStr">
        <is>
          <t>SaaS-CORE-SMB</t>
        </is>
      </c>
      <c r="I102" s="14" t="n">
        <v>450</v>
      </c>
      <c r="J102" s="15" t="n">
        <v>1</v>
      </c>
      <c r="K102" s="16" t="n">
        <v>0.1</v>
      </c>
      <c r="L102" s="14">
        <f>I102*J102</f>
        <v/>
      </c>
      <c r="M102" s="14">
        <f>L102*K102</f>
        <v/>
      </c>
      <c r="N102" s="14">
        <f>L102-M102</f>
        <v/>
      </c>
      <c r="O102" s="14" t="n">
        <v>110</v>
      </c>
      <c r="P102" s="14">
        <f>O102*J102</f>
        <v/>
      </c>
      <c r="Q102" s="14">
        <f>N102-P102</f>
        <v/>
      </c>
      <c r="R102" s="16">
        <f>Q102/N102</f>
        <v/>
      </c>
    </row>
    <row r="103">
      <c r="A103" s="17" t="inlineStr">
        <is>
          <t>TRX-2026-0102</t>
        </is>
      </c>
      <c r="B103" s="18" t="inlineStr">
        <is>
          <t>2025-09-04</t>
        </is>
      </c>
      <c r="C103" s="17" t="inlineStr">
        <is>
          <t>E-commerce</t>
        </is>
      </c>
      <c r="D103" s="17" t="inlineStr">
        <is>
          <t>Sud &amp; Isole</t>
        </is>
      </c>
      <c r="E103" s="17" t="inlineStr">
        <is>
          <t>Marco Rossi</t>
        </is>
      </c>
      <c r="F103" s="17" t="inlineStr">
        <is>
          <t>Professionisti / SOHO</t>
        </is>
      </c>
      <c r="G103" s="17" t="inlineStr">
        <is>
          <t>Cloud &amp; Software</t>
        </is>
      </c>
      <c r="H103" s="17" t="inlineStr">
        <is>
          <t>SaaS-CORE-SMB</t>
        </is>
      </c>
      <c r="I103" s="19" t="n">
        <v>450</v>
      </c>
      <c r="J103" s="20" t="n">
        <v>2</v>
      </c>
      <c r="K103" s="21" t="n">
        <v>0.1</v>
      </c>
      <c r="L103" s="19">
        <f>I103*J103</f>
        <v/>
      </c>
      <c r="M103" s="19">
        <f>L103*K103</f>
        <v/>
      </c>
      <c r="N103" s="19">
        <f>L103-M103</f>
        <v/>
      </c>
      <c r="O103" s="19" t="n">
        <v>110</v>
      </c>
      <c r="P103" s="19">
        <f>O103*J103</f>
        <v/>
      </c>
      <c r="Q103" s="19">
        <f>N103-P103</f>
        <v/>
      </c>
      <c r="R103" s="21">
        <f>Q103/N103</f>
        <v/>
      </c>
    </row>
    <row r="104">
      <c r="A104" s="9" t="inlineStr">
        <is>
          <t>TRX-2025-0103</t>
        </is>
      </c>
      <c r="B104" s="13" t="inlineStr">
        <is>
          <t>2025-03-03</t>
        </is>
      </c>
      <c r="C104" s="9" t="inlineStr">
        <is>
          <t>B2B Diretto</t>
        </is>
      </c>
      <c r="D104" s="9" t="inlineStr">
        <is>
          <t>Nord-Ovest</t>
        </is>
      </c>
      <c r="E104" s="9" t="inlineStr">
        <is>
          <t>Alessandro Riva</t>
        </is>
      </c>
      <c r="F104" s="9" t="inlineStr">
        <is>
          <t>PMI</t>
        </is>
      </c>
      <c r="G104" s="9" t="inlineStr">
        <is>
          <t>Consulenza &amp; Setup</t>
        </is>
      </c>
      <c r="H104" s="9" t="inlineStr">
        <is>
          <t>SETUP-INTEGRATION</t>
        </is>
      </c>
      <c r="I104" s="14" t="n">
        <v>1500</v>
      </c>
      <c r="J104" s="15" t="n">
        <v>1</v>
      </c>
      <c r="K104" s="16" t="n">
        <v>0.05</v>
      </c>
      <c r="L104" s="14">
        <f>I104*J104</f>
        <v/>
      </c>
      <c r="M104" s="14">
        <f>L104*K104</f>
        <v/>
      </c>
      <c r="N104" s="14">
        <f>L104-M104</f>
        <v/>
      </c>
      <c r="O104" s="14" t="n">
        <v>650</v>
      </c>
      <c r="P104" s="14">
        <f>O104*J104</f>
        <v/>
      </c>
      <c r="Q104" s="14">
        <f>N104-P104</f>
        <v/>
      </c>
      <c r="R104" s="16">
        <f>Q104/N104</f>
        <v/>
      </c>
    </row>
    <row r="105">
      <c r="A105" s="17" t="inlineStr">
        <is>
          <t>TRX-2025-0104</t>
        </is>
      </c>
      <c r="B105" s="18" t="inlineStr">
        <is>
          <t>2025-07-08</t>
        </is>
      </c>
      <c r="C105" s="17" t="inlineStr">
        <is>
          <t>B2B Diretto</t>
        </is>
      </c>
      <c r="D105" s="17" t="inlineStr">
        <is>
          <t>Estero (EU)</t>
        </is>
      </c>
      <c r="E105" s="17" t="inlineStr">
        <is>
          <t>Elena Conti</t>
        </is>
      </c>
      <c r="F105" s="17" t="inlineStr">
        <is>
          <t>PMI</t>
        </is>
      </c>
      <c r="G105" s="17" t="inlineStr">
        <is>
          <t>Hardware &amp; IoT</t>
        </is>
      </c>
      <c r="H105" s="17" t="inlineStr">
        <is>
          <t>GATEWAY-EDGE-PRO</t>
        </is>
      </c>
      <c r="I105" s="19" t="n">
        <v>890</v>
      </c>
      <c r="J105" s="20" t="n">
        <v>3</v>
      </c>
      <c r="K105" s="21" t="n">
        <v>0.05</v>
      </c>
      <c r="L105" s="19">
        <f>I105*J105</f>
        <v/>
      </c>
      <c r="M105" s="19">
        <f>L105*K105</f>
        <v/>
      </c>
      <c r="N105" s="19">
        <f>L105-M105</f>
        <v/>
      </c>
      <c r="O105" s="19" t="n">
        <v>520</v>
      </c>
      <c r="P105" s="19">
        <f>O105*J105</f>
        <v/>
      </c>
      <c r="Q105" s="19">
        <f>N105-P105</f>
        <v/>
      </c>
      <c r="R105" s="21">
        <f>Q105/N105</f>
        <v/>
      </c>
    </row>
    <row r="106">
      <c r="A106" s="9" t="inlineStr">
        <is>
          <t>TRX-2025-0105</t>
        </is>
      </c>
      <c r="B106" s="13" t="inlineStr">
        <is>
          <t>2026-05-02</t>
        </is>
      </c>
      <c r="C106" s="9" t="inlineStr">
        <is>
          <t>E-commerce</t>
        </is>
      </c>
      <c r="D106" s="9" t="inlineStr">
        <is>
          <t>Sud &amp; Isole</t>
        </is>
      </c>
      <c r="E106" s="9" t="inlineStr">
        <is>
          <t>Alessandro Riva</t>
        </is>
      </c>
      <c r="F106" s="9" t="inlineStr">
        <is>
          <t>PMI</t>
        </is>
      </c>
      <c r="G106" s="9" t="inlineStr">
        <is>
          <t>Consulenza &amp; Setup</t>
        </is>
      </c>
      <c r="H106" s="9" t="inlineStr">
        <is>
          <t>TRAINING-ONBOARDING</t>
        </is>
      </c>
      <c r="I106" s="14" t="n">
        <v>800</v>
      </c>
      <c r="J106" s="15" t="n">
        <v>10</v>
      </c>
      <c r="K106" s="16" t="n">
        <v>0.1</v>
      </c>
      <c r="L106" s="14">
        <f>I106*J106</f>
        <v/>
      </c>
      <c r="M106" s="14">
        <f>L106*K106</f>
        <v/>
      </c>
      <c r="N106" s="14">
        <f>L106-M106</f>
        <v/>
      </c>
      <c r="O106" s="14" t="n">
        <v>350</v>
      </c>
      <c r="P106" s="14">
        <f>O106*J106</f>
        <v/>
      </c>
      <c r="Q106" s="14">
        <f>N106-P106</f>
        <v/>
      </c>
      <c r="R106" s="16">
        <f>Q106/N106</f>
        <v/>
      </c>
    </row>
    <row r="107">
      <c r="A107" s="17" t="inlineStr">
        <is>
          <t>TRX-2025-0106</t>
        </is>
      </c>
      <c r="B107" s="18" t="inlineStr">
        <is>
          <t>2025-03-31</t>
        </is>
      </c>
      <c r="C107" s="17" t="inlineStr">
        <is>
          <t>B2B Diretto</t>
        </is>
      </c>
      <c r="D107" s="17" t="inlineStr">
        <is>
          <t>Centro</t>
        </is>
      </c>
      <c r="E107" s="17" t="inlineStr">
        <is>
          <t>Roberto Moretti</t>
        </is>
      </c>
      <c r="F107" s="17" t="inlineStr">
        <is>
          <t>Enterprise</t>
        </is>
      </c>
      <c r="G107" s="17" t="inlineStr">
        <is>
          <t>Consulenza &amp; Setup</t>
        </is>
      </c>
      <c r="H107" s="17" t="inlineStr">
        <is>
          <t>SETUP-INTEGRATION</t>
        </is>
      </c>
      <c r="I107" s="19" t="n">
        <v>1500</v>
      </c>
      <c r="J107" s="20" t="n">
        <v>5</v>
      </c>
      <c r="K107" s="21" t="n">
        <v>0.05</v>
      </c>
      <c r="L107" s="19">
        <f>I107*J107</f>
        <v/>
      </c>
      <c r="M107" s="19">
        <f>L107*K107</f>
        <v/>
      </c>
      <c r="N107" s="19">
        <f>L107-M107</f>
        <v/>
      </c>
      <c r="O107" s="19" t="n">
        <v>650</v>
      </c>
      <c r="P107" s="19">
        <f>O107*J107</f>
        <v/>
      </c>
      <c r="Q107" s="19">
        <f>N107-P107</f>
        <v/>
      </c>
      <c r="R107" s="21">
        <f>Q107/N107</f>
        <v/>
      </c>
    </row>
    <row r="108">
      <c r="A108" s="9" t="inlineStr">
        <is>
          <t>TRX-2026-0107</t>
        </is>
      </c>
      <c r="B108" s="13" t="inlineStr">
        <is>
          <t>2025-08-06</t>
        </is>
      </c>
      <c r="C108" s="9" t="inlineStr">
        <is>
          <t>Partner / Retailer</t>
        </is>
      </c>
      <c r="D108" s="9" t="inlineStr">
        <is>
          <t>Sud &amp; Isole</t>
        </is>
      </c>
      <c r="E108" s="9" t="inlineStr">
        <is>
          <t>Marco Rossi</t>
        </is>
      </c>
      <c r="F108" s="9" t="inlineStr">
        <is>
          <t>Enterprise</t>
        </is>
      </c>
      <c r="G108" s="9" t="inlineStr">
        <is>
          <t>Hardware &amp; IoT</t>
        </is>
      </c>
      <c r="H108" s="9" t="inlineStr">
        <is>
          <t>TERMINAL-SMART-V2</t>
        </is>
      </c>
      <c r="I108" s="14" t="n">
        <v>640</v>
      </c>
      <c r="J108" s="15" t="n">
        <v>3</v>
      </c>
      <c r="K108" s="16" t="n">
        <v>0.2</v>
      </c>
      <c r="L108" s="14">
        <f>I108*J108</f>
        <v/>
      </c>
      <c r="M108" s="14">
        <f>L108*K108</f>
        <v/>
      </c>
      <c r="N108" s="14">
        <f>L108-M108</f>
        <v/>
      </c>
      <c r="O108" s="14" t="n">
        <v>380</v>
      </c>
      <c r="P108" s="14">
        <f>O108*J108</f>
        <v/>
      </c>
      <c r="Q108" s="14">
        <f>N108-P108</f>
        <v/>
      </c>
      <c r="R108" s="16">
        <f>Q108/N108</f>
        <v/>
      </c>
    </row>
    <row r="109">
      <c r="A109" s="17" t="inlineStr">
        <is>
          <t>TRX-2026-0108</t>
        </is>
      </c>
      <c r="B109" s="18" t="inlineStr">
        <is>
          <t>2025-02-06</t>
        </is>
      </c>
      <c r="C109" s="17" t="inlineStr">
        <is>
          <t>Partner / Retailer</t>
        </is>
      </c>
      <c r="D109" s="17" t="inlineStr">
        <is>
          <t>Sud &amp; Isole</t>
        </is>
      </c>
      <c r="E109" s="17" t="inlineStr">
        <is>
          <t>Alessandro Riva</t>
        </is>
      </c>
      <c r="F109" s="17" t="inlineStr">
        <is>
          <t>Enterprise</t>
        </is>
      </c>
      <c r="G109" s="17" t="inlineStr">
        <is>
          <t>Cloud &amp; Software</t>
        </is>
      </c>
      <c r="H109" s="17" t="inlineStr">
        <is>
          <t>SaaS-PLATFORM-ENT</t>
        </is>
      </c>
      <c r="I109" s="19" t="n">
        <v>1200</v>
      </c>
      <c r="J109" s="20" t="n">
        <v>10</v>
      </c>
      <c r="K109" s="21" t="n">
        <v>0.1</v>
      </c>
      <c r="L109" s="19">
        <f>I109*J109</f>
        <v/>
      </c>
      <c r="M109" s="19">
        <f>L109*K109</f>
        <v/>
      </c>
      <c r="N109" s="19">
        <f>L109-M109</f>
        <v/>
      </c>
      <c r="O109" s="19" t="n">
        <v>320</v>
      </c>
      <c r="P109" s="19">
        <f>O109*J109</f>
        <v/>
      </c>
      <c r="Q109" s="19">
        <f>N109-P109</f>
        <v/>
      </c>
      <c r="R109" s="21">
        <f>Q109/N109</f>
        <v/>
      </c>
    </row>
    <row r="110">
      <c r="A110" s="9" t="inlineStr">
        <is>
          <t>TRX-2026-0109</t>
        </is>
      </c>
      <c r="B110" s="13" t="inlineStr">
        <is>
          <t>2025-09-07</t>
        </is>
      </c>
      <c r="C110" s="9" t="inlineStr">
        <is>
          <t>E-commerce</t>
        </is>
      </c>
      <c r="D110" s="9" t="inlineStr">
        <is>
          <t>Centro</t>
        </is>
      </c>
      <c r="E110" s="9" t="inlineStr">
        <is>
          <t>Giulia Bianchi</t>
        </is>
      </c>
      <c r="F110" s="9" t="inlineStr">
        <is>
          <t>PMI</t>
        </is>
      </c>
      <c r="G110" s="9" t="inlineStr">
        <is>
          <t>Hardware &amp; IoT</t>
        </is>
      </c>
      <c r="H110" s="9" t="inlineStr">
        <is>
          <t>SENSOR-IOT-PACK</t>
        </is>
      </c>
      <c r="I110" s="14" t="n">
        <v>290</v>
      </c>
      <c r="J110" s="15" t="n">
        <v>5</v>
      </c>
      <c r="K110" s="16" t="n">
        <v>0.1</v>
      </c>
      <c r="L110" s="14">
        <f>I110*J110</f>
        <v/>
      </c>
      <c r="M110" s="14">
        <f>L110*K110</f>
        <v/>
      </c>
      <c r="N110" s="14">
        <f>L110-M110</f>
        <v/>
      </c>
      <c r="O110" s="14" t="n">
        <v>140</v>
      </c>
      <c r="P110" s="14">
        <f>O110*J110</f>
        <v/>
      </c>
      <c r="Q110" s="14">
        <f>N110-P110</f>
        <v/>
      </c>
      <c r="R110" s="16">
        <f>Q110/N110</f>
        <v/>
      </c>
    </row>
    <row r="111">
      <c r="A111" s="17" t="inlineStr">
        <is>
          <t>TRX-2025-0110</t>
        </is>
      </c>
      <c r="B111" s="18" t="inlineStr">
        <is>
          <t>2025-04-24</t>
        </is>
      </c>
      <c r="C111" s="17" t="inlineStr">
        <is>
          <t>Partner / Retailer</t>
        </is>
      </c>
      <c r="D111" s="17" t="inlineStr">
        <is>
          <t>Nord-Ovest</t>
        </is>
      </c>
      <c r="E111" s="17" t="inlineStr">
        <is>
          <t>Alessandro Riva</t>
        </is>
      </c>
      <c r="F111" s="17" t="inlineStr">
        <is>
          <t>Professionisti / SOHO</t>
        </is>
      </c>
      <c r="G111" s="17" t="inlineStr">
        <is>
          <t>Cloud &amp; Software</t>
        </is>
      </c>
      <c r="H111" s="17" t="inlineStr">
        <is>
          <t>SaaS-PLATFORM-ENT</t>
        </is>
      </c>
      <c r="I111" s="19" t="n">
        <v>1200</v>
      </c>
      <c r="J111" s="20" t="n">
        <v>3</v>
      </c>
      <c r="K111" s="21" t="n">
        <v>0.1</v>
      </c>
      <c r="L111" s="19">
        <f>I111*J111</f>
        <v/>
      </c>
      <c r="M111" s="19">
        <f>L111*K111</f>
        <v/>
      </c>
      <c r="N111" s="19">
        <f>L111-M111</f>
        <v/>
      </c>
      <c r="O111" s="19" t="n">
        <v>320</v>
      </c>
      <c r="P111" s="19">
        <f>O111*J111</f>
        <v/>
      </c>
      <c r="Q111" s="19">
        <f>N111-P111</f>
        <v/>
      </c>
      <c r="R111" s="21">
        <f>Q111/N111</f>
        <v/>
      </c>
    </row>
    <row r="112">
      <c r="A112" s="9" t="inlineStr">
        <is>
          <t>TRX-2025-0111</t>
        </is>
      </c>
      <c r="B112" s="13" t="inlineStr">
        <is>
          <t>2025-11-13</t>
        </is>
      </c>
      <c r="C112" s="9" t="inlineStr">
        <is>
          <t>B2B Diretto</t>
        </is>
      </c>
      <c r="D112" s="9" t="inlineStr">
        <is>
          <t>Sud &amp; Isole</t>
        </is>
      </c>
      <c r="E112" s="9" t="inlineStr">
        <is>
          <t>Giulia Bianchi</t>
        </is>
      </c>
      <c r="F112" s="9" t="inlineStr">
        <is>
          <t>Enterprise</t>
        </is>
      </c>
      <c r="G112" s="9" t="inlineStr">
        <is>
          <t>Consulenza &amp; Setup</t>
        </is>
      </c>
      <c r="H112" s="9" t="inlineStr">
        <is>
          <t>SECURITY-AUDIT</t>
        </is>
      </c>
      <c r="I112" s="14" t="n">
        <v>2200</v>
      </c>
      <c r="J112" s="15" t="n">
        <v>10</v>
      </c>
      <c r="K112" s="16" t="n">
        <v>0</v>
      </c>
      <c r="L112" s="14">
        <f>I112*J112</f>
        <v/>
      </c>
      <c r="M112" s="14">
        <f>L112*K112</f>
        <v/>
      </c>
      <c r="N112" s="14">
        <f>L112-M112</f>
        <v/>
      </c>
      <c r="O112" s="14" t="n">
        <v>950</v>
      </c>
      <c r="P112" s="14">
        <f>O112*J112</f>
        <v/>
      </c>
      <c r="Q112" s="14">
        <f>N112-P112</f>
        <v/>
      </c>
      <c r="R112" s="16">
        <f>Q112/N112</f>
        <v/>
      </c>
    </row>
    <row r="113">
      <c r="A113" s="17" t="inlineStr">
        <is>
          <t>TRX-2026-0112</t>
        </is>
      </c>
      <c r="B113" s="18" t="inlineStr">
        <is>
          <t>2025-07-02</t>
        </is>
      </c>
      <c r="C113" s="17" t="inlineStr">
        <is>
          <t>B2B Diretto</t>
        </is>
      </c>
      <c r="D113" s="17" t="inlineStr">
        <is>
          <t>Sud &amp; Isole</t>
        </is>
      </c>
      <c r="E113" s="17" t="inlineStr">
        <is>
          <t>Alessandro Riva</t>
        </is>
      </c>
      <c r="F113" s="17" t="inlineStr">
        <is>
          <t>PMI</t>
        </is>
      </c>
      <c r="G113" s="17" t="inlineStr">
        <is>
          <t>Hardware &amp; IoT</t>
        </is>
      </c>
      <c r="H113" s="17" t="inlineStr">
        <is>
          <t>TERMINAL-SMART-V2</t>
        </is>
      </c>
      <c r="I113" s="19" t="n">
        <v>640</v>
      </c>
      <c r="J113" s="20" t="n">
        <v>8</v>
      </c>
      <c r="K113" s="21" t="n">
        <v>0.05</v>
      </c>
      <c r="L113" s="19">
        <f>I113*J113</f>
        <v/>
      </c>
      <c r="M113" s="19">
        <f>L113*K113</f>
        <v/>
      </c>
      <c r="N113" s="19">
        <f>L113-M113</f>
        <v/>
      </c>
      <c r="O113" s="19" t="n">
        <v>380</v>
      </c>
      <c r="P113" s="19">
        <f>O113*J113</f>
        <v/>
      </c>
      <c r="Q113" s="19">
        <f>N113-P113</f>
        <v/>
      </c>
      <c r="R113" s="21">
        <f>Q113/N113</f>
        <v/>
      </c>
    </row>
    <row r="114">
      <c r="A114" s="9" t="inlineStr">
        <is>
          <t>TRX-2025-0113</t>
        </is>
      </c>
      <c r="B114" s="13" t="inlineStr">
        <is>
          <t>2025-06-08</t>
        </is>
      </c>
      <c r="C114" s="9" t="inlineStr">
        <is>
          <t>E-commerce</t>
        </is>
      </c>
      <c r="D114" s="9" t="inlineStr">
        <is>
          <t>Nord-Est</t>
        </is>
      </c>
      <c r="E114" s="9" t="inlineStr">
        <is>
          <t>Elena Conti</t>
        </is>
      </c>
      <c r="F114" s="9" t="inlineStr">
        <is>
          <t>Pubblica Amministrazione</t>
        </is>
      </c>
      <c r="G114" s="9" t="inlineStr">
        <is>
          <t>Consulenza &amp; Setup</t>
        </is>
      </c>
      <c r="H114" s="9" t="inlineStr">
        <is>
          <t>SECURITY-AUDIT</t>
        </is>
      </c>
      <c r="I114" s="14" t="n">
        <v>2200</v>
      </c>
      <c r="J114" s="15" t="n">
        <v>2</v>
      </c>
      <c r="K114" s="16" t="n">
        <v>0.1</v>
      </c>
      <c r="L114" s="14">
        <f>I114*J114</f>
        <v/>
      </c>
      <c r="M114" s="14">
        <f>L114*K114</f>
        <v/>
      </c>
      <c r="N114" s="14">
        <f>L114-M114</f>
        <v/>
      </c>
      <c r="O114" s="14" t="n">
        <v>950</v>
      </c>
      <c r="P114" s="14">
        <f>O114*J114</f>
        <v/>
      </c>
      <c r="Q114" s="14">
        <f>N114-P114</f>
        <v/>
      </c>
      <c r="R114" s="16">
        <f>Q114/N114</f>
        <v/>
      </c>
    </row>
    <row r="115">
      <c r="A115" s="17" t="inlineStr">
        <is>
          <t>TRX-2025-0114</t>
        </is>
      </c>
      <c r="B115" s="18" t="inlineStr">
        <is>
          <t>2025-10-12</t>
        </is>
      </c>
      <c r="C115" s="17" t="inlineStr">
        <is>
          <t>E-commerce</t>
        </is>
      </c>
      <c r="D115" s="17" t="inlineStr">
        <is>
          <t>Sud &amp; Isole</t>
        </is>
      </c>
      <c r="E115" s="17" t="inlineStr">
        <is>
          <t>Alessandro Riva</t>
        </is>
      </c>
      <c r="F115" s="17" t="inlineStr">
        <is>
          <t>PMI</t>
        </is>
      </c>
      <c r="G115" s="17" t="inlineStr">
        <is>
          <t>Hardware &amp; IoT</t>
        </is>
      </c>
      <c r="H115" s="17" t="inlineStr">
        <is>
          <t>SENSOR-IOT-PACK</t>
        </is>
      </c>
      <c r="I115" s="19" t="n">
        <v>290</v>
      </c>
      <c r="J115" s="20" t="n">
        <v>3</v>
      </c>
      <c r="K115" s="21" t="n">
        <v>0.1</v>
      </c>
      <c r="L115" s="19">
        <f>I115*J115</f>
        <v/>
      </c>
      <c r="M115" s="19">
        <f>L115*K115</f>
        <v/>
      </c>
      <c r="N115" s="19">
        <f>L115-M115</f>
        <v/>
      </c>
      <c r="O115" s="19" t="n">
        <v>140</v>
      </c>
      <c r="P115" s="19">
        <f>O115*J115</f>
        <v/>
      </c>
      <c r="Q115" s="19">
        <f>N115-P115</f>
        <v/>
      </c>
      <c r="R115" s="21">
        <f>Q115/N115</f>
        <v/>
      </c>
    </row>
    <row r="116">
      <c r="A116" s="9" t="inlineStr">
        <is>
          <t>TRX-2026-0115</t>
        </is>
      </c>
      <c r="B116" s="13" t="inlineStr">
        <is>
          <t>2025-05-05</t>
        </is>
      </c>
      <c r="C116" s="9" t="inlineStr">
        <is>
          <t>E-commerce</t>
        </is>
      </c>
      <c r="D116" s="9" t="inlineStr">
        <is>
          <t>Sud &amp; Isole</t>
        </is>
      </c>
      <c r="E116" s="9" t="inlineStr">
        <is>
          <t>Marco Rossi</t>
        </is>
      </c>
      <c r="F116" s="9" t="inlineStr">
        <is>
          <t>PMI</t>
        </is>
      </c>
      <c r="G116" s="9" t="inlineStr">
        <is>
          <t>Consulenza &amp; Setup</t>
        </is>
      </c>
      <c r="H116" s="9" t="inlineStr">
        <is>
          <t>SECURITY-AUDIT</t>
        </is>
      </c>
      <c r="I116" s="14" t="n">
        <v>2200</v>
      </c>
      <c r="J116" s="15" t="n">
        <v>2</v>
      </c>
      <c r="K116" s="16" t="n">
        <v>0.05</v>
      </c>
      <c r="L116" s="14">
        <f>I116*J116</f>
        <v/>
      </c>
      <c r="M116" s="14">
        <f>L116*K116</f>
        <v/>
      </c>
      <c r="N116" s="14">
        <f>L116-M116</f>
        <v/>
      </c>
      <c r="O116" s="14" t="n">
        <v>950</v>
      </c>
      <c r="P116" s="14">
        <f>O116*J116</f>
        <v/>
      </c>
      <c r="Q116" s="14">
        <f>N116-P116</f>
        <v/>
      </c>
      <c r="R116" s="16">
        <f>Q116/N116</f>
        <v/>
      </c>
    </row>
    <row r="117">
      <c r="A117" s="17" t="inlineStr">
        <is>
          <t>TRX-2025-0116</t>
        </is>
      </c>
      <c r="B117" s="18" t="inlineStr">
        <is>
          <t>2026-05-05</t>
        </is>
      </c>
      <c r="C117" s="17" t="inlineStr">
        <is>
          <t>Partner / Retailer</t>
        </is>
      </c>
      <c r="D117" s="17" t="inlineStr">
        <is>
          <t>Centro</t>
        </is>
      </c>
      <c r="E117" s="17" t="inlineStr">
        <is>
          <t>Elena Conti</t>
        </is>
      </c>
      <c r="F117" s="17" t="inlineStr">
        <is>
          <t>Enterprise</t>
        </is>
      </c>
      <c r="G117" s="17" t="inlineStr">
        <is>
          <t>Cloud &amp; Software</t>
        </is>
      </c>
      <c r="H117" s="17" t="inlineStr">
        <is>
          <t>SaaS-PLATFORM-ENT</t>
        </is>
      </c>
      <c r="I117" s="19" t="n">
        <v>1200</v>
      </c>
      <c r="J117" s="20" t="n">
        <v>15</v>
      </c>
      <c r="K117" s="21" t="n">
        <v>0</v>
      </c>
      <c r="L117" s="19">
        <f>I117*J117</f>
        <v/>
      </c>
      <c r="M117" s="19">
        <f>L117*K117</f>
        <v/>
      </c>
      <c r="N117" s="19">
        <f>L117-M117</f>
        <v/>
      </c>
      <c r="O117" s="19" t="n">
        <v>320</v>
      </c>
      <c r="P117" s="19">
        <f>O117*J117</f>
        <v/>
      </c>
      <c r="Q117" s="19">
        <f>N117-P117</f>
        <v/>
      </c>
      <c r="R117" s="21">
        <f>Q117/N117</f>
        <v/>
      </c>
    </row>
    <row r="118">
      <c r="A118" s="9" t="inlineStr">
        <is>
          <t>TRX-2026-0117</t>
        </is>
      </c>
      <c r="B118" s="13" t="inlineStr">
        <is>
          <t>2025-05-13</t>
        </is>
      </c>
      <c r="C118" s="9" t="inlineStr">
        <is>
          <t>B2B Diretto</t>
        </is>
      </c>
      <c r="D118" s="9" t="inlineStr">
        <is>
          <t>Estero (EU)</t>
        </is>
      </c>
      <c r="E118" s="9" t="inlineStr">
        <is>
          <t>Giulia Bianchi</t>
        </is>
      </c>
      <c r="F118" s="9" t="inlineStr">
        <is>
          <t>PMI</t>
        </is>
      </c>
      <c r="G118" s="9" t="inlineStr">
        <is>
          <t>Hardware &amp; IoT</t>
        </is>
      </c>
      <c r="H118" s="9" t="inlineStr">
        <is>
          <t>TERMINAL-SMART-V2</t>
        </is>
      </c>
      <c r="I118" s="14" t="n">
        <v>640</v>
      </c>
      <c r="J118" s="15" t="n">
        <v>5</v>
      </c>
      <c r="K118" s="16" t="n">
        <v>0.1</v>
      </c>
      <c r="L118" s="14">
        <f>I118*J118</f>
        <v/>
      </c>
      <c r="M118" s="14">
        <f>L118*K118</f>
        <v/>
      </c>
      <c r="N118" s="14">
        <f>L118-M118</f>
        <v/>
      </c>
      <c r="O118" s="14" t="n">
        <v>380</v>
      </c>
      <c r="P118" s="14">
        <f>O118*J118</f>
        <v/>
      </c>
      <c r="Q118" s="14">
        <f>N118-P118</f>
        <v/>
      </c>
      <c r="R118" s="16">
        <f>Q118/N118</f>
        <v/>
      </c>
    </row>
    <row r="119">
      <c r="A119" s="17" t="inlineStr">
        <is>
          <t>TRX-2026-0118</t>
        </is>
      </c>
      <c r="B119" s="18" t="inlineStr">
        <is>
          <t>2025-06-22</t>
        </is>
      </c>
      <c r="C119" s="17" t="inlineStr">
        <is>
          <t>Partner / Retailer</t>
        </is>
      </c>
      <c r="D119" s="17" t="inlineStr">
        <is>
          <t>Nord-Ovest</t>
        </is>
      </c>
      <c r="E119" s="17" t="inlineStr">
        <is>
          <t>Elena Conti</t>
        </is>
      </c>
      <c r="F119" s="17" t="inlineStr">
        <is>
          <t>PMI</t>
        </is>
      </c>
      <c r="G119" s="17" t="inlineStr">
        <is>
          <t>Hardware &amp; IoT</t>
        </is>
      </c>
      <c r="H119" s="17" t="inlineStr">
        <is>
          <t>SENSOR-IOT-PACK</t>
        </is>
      </c>
      <c r="I119" s="19" t="n">
        <v>290</v>
      </c>
      <c r="J119" s="20" t="n">
        <v>1</v>
      </c>
      <c r="K119" s="21" t="n">
        <v>0</v>
      </c>
      <c r="L119" s="19">
        <f>I119*J119</f>
        <v/>
      </c>
      <c r="M119" s="19">
        <f>L119*K119</f>
        <v/>
      </c>
      <c r="N119" s="19">
        <f>L119-M119</f>
        <v/>
      </c>
      <c r="O119" s="19" t="n">
        <v>140</v>
      </c>
      <c r="P119" s="19">
        <f>O119*J119</f>
        <v/>
      </c>
      <c r="Q119" s="19">
        <f>N119-P119</f>
        <v/>
      </c>
      <c r="R119" s="21">
        <f>Q119/N119</f>
        <v/>
      </c>
    </row>
    <row r="120">
      <c r="A120" s="9" t="inlineStr">
        <is>
          <t>TRX-2026-0119</t>
        </is>
      </c>
      <c r="B120" s="13" t="inlineStr">
        <is>
          <t>2026-04-15</t>
        </is>
      </c>
      <c r="C120" s="9" t="inlineStr">
        <is>
          <t>Partner / Retailer</t>
        </is>
      </c>
      <c r="D120" s="9" t="inlineStr">
        <is>
          <t>Centro</t>
        </is>
      </c>
      <c r="E120" s="9" t="inlineStr">
        <is>
          <t>Marco Rossi</t>
        </is>
      </c>
      <c r="F120" s="9" t="inlineStr">
        <is>
          <t>Pubblica Amministrazione</t>
        </is>
      </c>
      <c r="G120" s="9" t="inlineStr">
        <is>
          <t>Hardware &amp; IoT</t>
        </is>
      </c>
      <c r="H120" s="9" t="inlineStr">
        <is>
          <t>TERMINAL-SMART-V2</t>
        </is>
      </c>
      <c r="I120" s="14" t="n">
        <v>640</v>
      </c>
      <c r="J120" s="15" t="n">
        <v>3</v>
      </c>
      <c r="K120" s="16" t="n">
        <v>0.2</v>
      </c>
      <c r="L120" s="14">
        <f>I120*J120</f>
        <v/>
      </c>
      <c r="M120" s="14">
        <f>L120*K120</f>
        <v/>
      </c>
      <c r="N120" s="14">
        <f>L120-M120</f>
        <v/>
      </c>
      <c r="O120" s="14" t="n">
        <v>380</v>
      </c>
      <c r="P120" s="14">
        <f>O120*J120</f>
        <v/>
      </c>
      <c r="Q120" s="14">
        <f>N120-P120</f>
        <v/>
      </c>
      <c r="R120" s="16">
        <f>Q120/N120</f>
        <v/>
      </c>
    </row>
    <row r="121">
      <c r="A121" s="17" t="inlineStr">
        <is>
          <t>TRX-2026-0120</t>
        </is>
      </c>
      <c r="B121" s="18" t="inlineStr">
        <is>
          <t>2025-03-18</t>
        </is>
      </c>
      <c r="C121" s="17" t="inlineStr">
        <is>
          <t>B2B Diretto</t>
        </is>
      </c>
      <c r="D121" s="17" t="inlineStr">
        <is>
          <t>Nord-Est</t>
        </is>
      </c>
      <c r="E121" s="17" t="inlineStr">
        <is>
          <t>Marco Rossi</t>
        </is>
      </c>
      <c r="F121" s="17" t="inlineStr">
        <is>
          <t>Pubblica Amministrazione</t>
        </is>
      </c>
      <c r="G121" s="17" t="inlineStr">
        <is>
          <t>Consulenza &amp; Setup</t>
        </is>
      </c>
      <c r="H121" s="17" t="inlineStr">
        <is>
          <t>TRAINING-ONBOARDING</t>
        </is>
      </c>
      <c r="I121" s="19" t="n">
        <v>800</v>
      </c>
      <c r="J121" s="20" t="n">
        <v>1</v>
      </c>
      <c r="K121" s="21" t="n">
        <v>0</v>
      </c>
      <c r="L121" s="19">
        <f>I121*J121</f>
        <v/>
      </c>
      <c r="M121" s="19">
        <f>L121*K121</f>
        <v/>
      </c>
      <c r="N121" s="19">
        <f>L121-M121</f>
        <v/>
      </c>
      <c r="O121" s="19" t="n">
        <v>350</v>
      </c>
      <c r="P121" s="19">
        <f>O121*J121</f>
        <v/>
      </c>
      <c r="Q121" s="19">
        <f>N121-P121</f>
        <v/>
      </c>
      <c r="R121" s="21">
        <f>Q121/N121</f>
        <v/>
      </c>
    </row>
    <row r="122">
      <c r="A122" s="9" t="inlineStr">
        <is>
          <t>TRX-2025-0121</t>
        </is>
      </c>
      <c r="B122" s="13" t="inlineStr">
        <is>
          <t>2025-03-07</t>
        </is>
      </c>
      <c r="C122" s="9" t="inlineStr">
        <is>
          <t>E-commerce</t>
        </is>
      </c>
      <c r="D122" s="9" t="inlineStr">
        <is>
          <t>Nord-Est</t>
        </is>
      </c>
      <c r="E122" s="9" t="inlineStr">
        <is>
          <t>Giulia Bianchi</t>
        </is>
      </c>
      <c r="F122" s="9" t="inlineStr">
        <is>
          <t>Professionisti / SOHO</t>
        </is>
      </c>
      <c r="G122" s="9" t="inlineStr">
        <is>
          <t>Hardware &amp; IoT</t>
        </is>
      </c>
      <c r="H122" s="9" t="inlineStr">
        <is>
          <t>GATEWAY-EDGE-PRO</t>
        </is>
      </c>
      <c r="I122" s="14" t="n">
        <v>890</v>
      </c>
      <c r="J122" s="15" t="n">
        <v>1</v>
      </c>
      <c r="K122" s="16" t="n">
        <v>0.1</v>
      </c>
      <c r="L122" s="14">
        <f>I122*J122</f>
        <v/>
      </c>
      <c r="M122" s="14">
        <f>L122*K122</f>
        <v/>
      </c>
      <c r="N122" s="14">
        <f>L122-M122</f>
        <v/>
      </c>
      <c r="O122" s="14" t="n">
        <v>520</v>
      </c>
      <c r="P122" s="14">
        <f>O122*J122</f>
        <v/>
      </c>
      <c r="Q122" s="14">
        <f>N122-P122</f>
        <v/>
      </c>
      <c r="R122" s="16">
        <f>Q122/N122</f>
        <v/>
      </c>
    </row>
    <row r="123">
      <c r="A123" s="17" t="inlineStr">
        <is>
          <t>TRX-2025-0122</t>
        </is>
      </c>
      <c r="B123" s="18" t="inlineStr">
        <is>
          <t>2025-08-24</t>
        </is>
      </c>
      <c r="C123" s="17" t="inlineStr">
        <is>
          <t>Partner / Retailer</t>
        </is>
      </c>
      <c r="D123" s="17" t="inlineStr">
        <is>
          <t>Nord-Est</t>
        </is>
      </c>
      <c r="E123" s="17" t="inlineStr">
        <is>
          <t>Alessandro Riva</t>
        </is>
      </c>
      <c r="F123" s="17" t="inlineStr">
        <is>
          <t>Professionisti / SOHO</t>
        </is>
      </c>
      <c r="G123" s="17" t="inlineStr">
        <is>
          <t>Cloud &amp; Software</t>
        </is>
      </c>
      <c r="H123" s="17" t="inlineStr">
        <is>
          <t>SaaS-PLATFORM-ENT</t>
        </is>
      </c>
      <c r="I123" s="19" t="n">
        <v>1200</v>
      </c>
      <c r="J123" s="20" t="n">
        <v>2</v>
      </c>
      <c r="K123" s="21" t="n">
        <v>0.2</v>
      </c>
      <c r="L123" s="19">
        <f>I123*J123</f>
        <v/>
      </c>
      <c r="M123" s="19">
        <f>L123*K123</f>
        <v/>
      </c>
      <c r="N123" s="19">
        <f>L123-M123</f>
        <v/>
      </c>
      <c r="O123" s="19" t="n">
        <v>320</v>
      </c>
      <c r="P123" s="19">
        <f>O123*J123</f>
        <v/>
      </c>
      <c r="Q123" s="19">
        <f>N123-P123</f>
        <v/>
      </c>
      <c r="R123" s="21">
        <f>Q123/N123</f>
        <v/>
      </c>
    </row>
    <row r="124">
      <c r="A124" s="9" t="inlineStr">
        <is>
          <t>TRX-2025-0123</t>
        </is>
      </c>
      <c r="B124" s="13" t="inlineStr">
        <is>
          <t>2026-07-22</t>
        </is>
      </c>
      <c r="C124" s="9" t="inlineStr">
        <is>
          <t>B2B Diretto</t>
        </is>
      </c>
      <c r="D124" s="9" t="inlineStr">
        <is>
          <t>Nord-Est</t>
        </is>
      </c>
      <c r="E124" s="9" t="inlineStr">
        <is>
          <t>Marco Rossi</t>
        </is>
      </c>
      <c r="F124" s="9" t="inlineStr">
        <is>
          <t>PMI</t>
        </is>
      </c>
      <c r="G124" s="9" t="inlineStr">
        <is>
          <t>Cloud &amp; Software</t>
        </is>
      </c>
      <c r="H124" s="9" t="inlineStr">
        <is>
          <t>SaaS-PLATFORM-ENT</t>
        </is>
      </c>
      <c r="I124" s="14" t="n">
        <v>1200</v>
      </c>
      <c r="J124" s="15" t="n">
        <v>1</v>
      </c>
      <c r="K124" s="16" t="n">
        <v>0</v>
      </c>
      <c r="L124" s="14">
        <f>I124*J124</f>
        <v/>
      </c>
      <c r="M124" s="14">
        <f>L124*K124</f>
        <v/>
      </c>
      <c r="N124" s="14">
        <f>L124-M124</f>
        <v/>
      </c>
      <c r="O124" s="14" t="n">
        <v>320</v>
      </c>
      <c r="P124" s="14">
        <f>O124*J124</f>
        <v/>
      </c>
      <c r="Q124" s="14">
        <f>N124-P124</f>
        <v/>
      </c>
      <c r="R124" s="16">
        <f>Q124/N124</f>
        <v/>
      </c>
    </row>
    <row r="125">
      <c r="A125" s="17" t="inlineStr">
        <is>
          <t>TRX-2025-0124</t>
        </is>
      </c>
      <c r="B125" s="18" t="inlineStr">
        <is>
          <t>2025-12-12</t>
        </is>
      </c>
      <c r="C125" s="17" t="inlineStr">
        <is>
          <t>B2B Diretto</t>
        </is>
      </c>
      <c r="D125" s="17" t="inlineStr">
        <is>
          <t>Centro</t>
        </is>
      </c>
      <c r="E125" s="17" t="inlineStr">
        <is>
          <t>Marco Rossi</t>
        </is>
      </c>
      <c r="F125" s="17" t="inlineStr">
        <is>
          <t>Enterprise</t>
        </is>
      </c>
      <c r="G125" s="17" t="inlineStr">
        <is>
          <t>Consulenza &amp; Setup</t>
        </is>
      </c>
      <c r="H125" s="17" t="inlineStr">
        <is>
          <t>SETUP-INTEGRATION</t>
        </is>
      </c>
      <c r="I125" s="19" t="n">
        <v>1500</v>
      </c>
      <c r="J125" s="20" t="n">
        <v>3</v>
      </c>
      <c r="K125" s="21" t="n">
        <v>0.1</v>
      </c>
      <c r="L125" s="19">
        <f>I125*J125</f>
        <v/>
      </c>
      <c r="M125" s="19">
        <f>L125*K125</f>
        <v/>
      </c>
      <c r="N125" s="19">
        <f>L125-M125</f>
        <v/>
      </c>
      <c r="O125" s="19" t="n">
        <v>650</v>
      </c>
      <c r="P125" s="19">
        <f>O125*J125</f>
        <v/>
      </c>
      <c r="Q125" s="19">
        <f>N125-P125</f>
        <v/>
      </c>
      <c r="R125" s="21">
        <f>Q125/N125</f>
        <v/>
      </c>
    </row>
    <row r="126">
      <c r="A126" s="9" t="inlineStr">
        <is>
          <t>TRX-2026-0125</t>
        </is>
      </c>
      <c r="B126" s="13" t="inlineStr">
        <is>
          <t>2026-04-19</t>
        </is>
      </c>
      <c r="C126" s="9" t="inlineStr">
        <is>
          <t>E-commerce</t>
        </is>
      </c>
      <c r="D126" s="9" t="inlineStr">
        <is>
          <t>Estero (EU)</t>
        </is>
      </c>
      <c r="E126" s="9" t="inlineStr">
        <is>
          <t>Roberto Moretti</t>
        </is>
      </c>
      <c r="F126" s="9" t="inlineStr">
        <is>
          <t>Enterprise</t>
        </is>
      </c>
      <c r="G126" s="9" t="inlineStr">
        <is>
          <t>Consulenza &amp; Setup</t>
        </is>
      </c>
      <c r="H126" s="9" t="inlineStr">
        <is>
          <t>SECURITY-AUDIT</t>
        </is>
      </c>
      <c r="I126" s="14" t="n">
        <v>2200</v>
      </c>
      <c r="J126" s="15" t="n">
        <v>1</v>
      </c>
      <c r="K126" s="16" t="n">
        <v>0.05</v>
      </c>
      <c r="L126" s="14">
        <f>I126*J126</f>
        <v/>
      </c>
      <c r="M126" s="14">
        <f>L126*K126</f>
        <v/>
      </c>
      <c r="N126" s="14">
        <f>L126-M126</f>
        <v/>
      </c>
      <c r="O126" s="14" t="n">
        <v>950</v>
      </c>
      <c r="P126" s="14">
        <f>O126*J126</f>
        <v/>
      </c>
      <c r="Q126" s="14">
        <f>N126-P126</f>
        <v/>
      </c>
      <c r="R126" s="16">
        <f>Q126/N126</f>
        <v/>
      </c>
    </row>
    <row r="127">
      <c r="A127" s="17" t="inlineStr">
        <is>
          <t>TRX-2026-0126</t>
        </is>
      </c>
      <c r="B127" s="18" t="inlineStr">
        <is>
          <t>2026-04-29</t>
        </is>
      </c>
      <c r="C127" s="17" t="inlineStr">
        <is>
          <t>E-commerce</t>
        </is>
      </c>
      <c r="D127" s="17" t="inlineStr">
        <is>
          <t>Nord-Ovest</t>
        </is>
      </c>
      <c r="E127" s="17" t="inlineStr">
        <is>
          <t>Marco Rossi</t>
        </is>
      </c>
      <c r="F127" s="17" t="inlineStr">
        <is>
          <t>Pubblica Amministrazione</t>
        </is>
      </c>
      <c r="G127" s="17" t="inlineStr">
        <is>
          <t>Consulenza &amp; Setup</t>
        </is>
      </c>
      <c r="H127" s="17" t="inlineStr">
        <is>
          <t>SETUP-INTEGRATION</t>
        </is>
      </c>
      <c r="I127" s="19" t="n">
        <v>1500</v>
      </c>
      <c r="J127" s="20" t="n">
        <v>2</v>
      </c>
      <c r="K127" s="21" t="n">
        <v>0</v>
      </c>
      <c r="L127" s="19">
        <f>I127*J127</f>
        <v/>
      </c>
      <c r="M127" s="19">
        <f>L127*K127</f>
        <v/>
      </c>
      <c r="N127" s="19">
        <f>L127-M127</f>
        <v/>
      </c>
      <c r="O127" s="19" t="n">
        <v>650</v>
      </c>
      <c r="P127" s="19">
        <f>O127*J127</f>
        <v/>
      </c>
      <c r="Q127" s="19">
        <f>N127-P127</f>
        <v/>
      </c>
      <c r="R127" s="21">
        <f>Q127/N127</f>
        <v/>
      </c>
    </row>
    <row r="128">
      <c r="A128" s="9" t="inlineStr">
        <is>
          <t>TRX-2026-0127</t>
        </is>
      </c>
      <c r="B128" s="13" t="inlineStr">
        <is>
          <t>2025-03-31</t>
        </is>
      </c>
      <c r="C128" s="9" t="inlineStr">
        <is>
          <t>Partner / Retailer</t>
        </is>
      </c>
      <c r="D128" s="9" t="inlineStr">
        <is>
          <t>Centro</t>
        </is>
      </c>
      <c r="E128" s="9" t="inlineStr">
        <is>
          <t>Roberto Moretti</t>
        </is>
      </c>
      <c r="F128" s="9" t="inlineStr">
        <is>
          <t>Enterprise</t>
        </is>
      </c>
      <c r="G128" s="9" t="inlineStr">
        <is>
          <t>Cloud &amp; Software</t>
        </is>
      </c>
      <c r="H128" s="9" t="inlineStr">
        <is>
          <t>AI-AGENT-MODULE</t>
        </is>
      </c>
      <c r="I128" s="14" t="n">
        <v>750</v>
      </c>
      <c r="J128" s="15" t="n">
        <v>2</v>
      </c>
      <c r="K128" s="16" t="n">
        <v>0.05</v>
      </c>
      <c r="L128" s="14">
        <f>I128*J128</f>
        <v/>
      </c>
      <c r="M128" s="14">
        <f>L128*K128</f>
        <v/>
      </c>
      <c r="N128" s="14">
        <f>L128-M128</f>
        <v/>
      </c>
      <c r="O128" s="14" t="n">
        <v>180</v>
      </c>
      <c r="P128" s="14">
        <f>O128*J128</f>
        <v/>
      </c>
      <c r="Q128" s="14">
        <f>N128-P128</f>
        <v/>
      </c>
      <c r="R128" s="16">
        <f>Q128/N128</f>
        <v/>
      </c>
    </row>
    <row r="129">
      <c r="A129" s="17" t="inlineStr">
        <is>
          <t>TRX-2026-0128</t>
        </is>
      </c>
      <c r="B129" s="18" t="inlineStr">
        <is>
          <t>2026-02-09</t>
        </is>
      </c>
      <c r="C129" s="17" t="inlineStr">
        <is>
          <t>Partner / Retailer</t>
        </is>
      </c>
      <c r="D129" s="17" t="inlineStr">
        <is>
          <t>Estero (EU)</t>
        </is>
      </c>
      <c r="E129" s="17" t="inlineStr">
        <is>
          <t>Alessandro Riva</t>
        </is>
      </c>
      <c r="F129" s="17" t="inlineStr">
        <is>
          <t>PMI</t>
        </is>
      </c>
      <c r="G129" s="17" t="inlineStr">
        <is>
          <t>Consulenza &amp; Setup</t>
        </is>
      </c>
      <c r="H129" s="17" t="inlineStr">
        <is>
          <t>SETUP-INTEGRATION</t>
        </is>
      </c>
      <c r="I129" s="19" t="n">
        <v>1500</v>
      </c>
      <c r="J129" s="20" t="n">
        <v>1</v>
      </c>
      <c r="K129" s="21" t="n">
        <v>0.1</v>
      </c>
      <c r="L129" s="19">
        <f>I129*J129</f>
        <v/>
      </c>
      <c r="M129" s="19">
        <f>L129*K129</f>
        <v/>
      </c>
      <c r="N129" s="19">
        <f>L129-M129</f>
        <v/>
      </c>
      <c r="O129" s="19" t="n">
        <v>650</v>
      </c>
      <c r="P129" s="19">
        <f>O129*J129</f>
        <v/>
      </c>
      <c r="Q129" s="19">
        <f>N129-P129</f>
        <v/>
      </c>
      <c r="R129" s="21">
        <f>Q129/N129</f>
        <v/>
      </c>
    </row>
    <row r="130">
      <c r="A130" s="9" t="inlineStr">
        <is>
          <t>TRX-2025-0129</t>
        </is>
      </c>
      <c r="B130" s="13" t="inlineStr">
        <is>
          <t>2026-03-31</t>
        </is>
      </c>
      <c r="C130" s="9" t="inlineStr">
        <is>
          <t>E-commerce</t>
        </is>
      </c>
      <c r="D130" s="9" t="inlineStr">
        <is>
          <t>Nord-Est</t>
        </is>
      </c>
      <c r="E130" s="9" t="inlineStr">
        <is>
          <t>Elena Conti</t>
        </is>
      </c>
      <c r="F130" s="9" t="inlineStr">
        <is>
          <t>Enterprise</t>
        </is>
      </c>
      <c r="G130" s="9" t="inlineStr">
        <is>
          <t>Consulenza &amp; Setup</t>
        </is>
      </c>
      <c r="H130" s="9" t="inlineStr">
        <is>
          <t>TRAINING-ONBOARDING</t>
        </is>
      </c>
      <c r="I130" s="14" t="n">
        <v>800</v>
      </c>
      <c r="J130" s="15" t="n">
        <v>2</v>
      </c>
      <c r="K130" s="16" t="n">
        <v>0.1</v>
      </c>
      <c r="L130" s="14">
        <f>I130*J130</f>
        <v/>
      </c>
      <c r="M130" s="14">
        <f>L130*K130</f>
        <v/>
      </c>
      <c r="N130" s="14">
        <f>L130-M130</f>
        <v/>
      </c>
      <c r="O130" s="14" t="n">
        <v>350</v>
      </c>
      <c r="P130" s="14">
        <f>O130*J130</f>
        <v/>
      </c>
      <c r="Q130" s="14">
        <f>N130-P130</f>
        <v/>
      </c>
      <c r="R130" s="16">
        <f>Q130/N130</f>
        <v/>
      </c>
    </row>
    <row r="131">
      <c r="A131" s="17" t="inlineStr">
        <is>
          <t>TRX-2026-0130</t>
        </is>
      </c>
      <c r="B131" s="18" t="inlineStr">
        <is>
          <t>2026-03-28</t>
        </is>
      </c>
      <c r="C131" s="17" t="inlineStr">
        <is>
          <t>B2B Diretto</t>
        </is>
      </c>
      <c r="D131" s="17" t="inlineStr">
        <is>
          <t>Centro</t>
        </is>
      </c>
      <c r="E131" s="17" t="inlineStr">
        <is>
          <t>Alessandro Riva</t>
        </is>
      </c>
      <c r="F131" s="17" t="inlineStr">
        <is>
          <t>Pubblica Amministrazione</t>
        </is>
      </c>
      <c r="G131" s="17" t="inlineStr">
        <is>
          <t>Consulenza &amp; Setup</t>
        </is>
      </c>
      <c r="H131" s="17" t="inlineStr">
        <is>
          <t>TRAINING-ONBOARDING</t>
        </is>
      </c>
      <c r="I131" s="19" t="n">
        <v>800</v>
      </c>
      <c r="J131" s="20" t="n">
        <v>1</v>
      </c>
      <c r="K131" s="21" t="n">
        <v>0.1</v>
      </c>
      <c r="L131" s="19">
        <f>I131*J131</f>
        <v/>
      </c>
      <c r="M131" s="19">
        <f>L131*K131</f>
        <v/>
      </c>
      <c r="N131" s="19">
        <f>L131-M131</f>
        <v/>
      </c>
      <c r="O131" s="19" t="n">
        <v>350</v>
      </c>
      <c r="P131" s="19">
        <f>O131*J131</f>
        <v/>
      </c>
      <c r="Q131" s="19">
        <f>N131-P131</f>
        <v/>
      </c>
      <c r="R131" s="21">
        <f>Q131/N131</f>
        <v/>
      </c>
    </row>
    <row r="132">
      <c r="A132" s="9" t="inlineStr">
        <is>
          <t>TRX-2025-0131</t>
        </is>
      </c>
      <c r="B132" s="13" t="inlineStr">
        <is>
          <t>2026-04-02</t>
        </is>
      </c>
      <c r="C132" s="9" t="inlineStr">
        <is>
          <t>B2B Diretto</t>
        </is>
      </c>
      <c r="D132" s="9" t="inlineStr">
        <is>
          <t>Centro</t>
        </is>
      </c>
      <c r="E132" s="9" t="inlineStr">
        <is>
          <t>Giulia Bianchi</t>
        </is>
      </c>
      <c r="F132" s="9" t="inlineStr">
        <is>
          <t>PMI</t>
        </is>
      </c>
      <c r="G132" s="9" t="inlineStr">
        <is>
          <t>Consulenza &amp; Setup</t>
        </is>
      </c>
      <c r="H132" s="9" t="inlineStr">
        <is>
          <t>SECURITY-AUDIT</t>
        </is>
      </c>
      <c r="I132" s="14" t="n">
        <v>2200</v>
      </c>
      <c r="J132" s="15" t="n">
        <v>3</v>
      </c>
      <c r="K132" s="16" t="n">
        <v>0.1</v>
      </c>
      <c r="L132" s="14">
        <f>I132*J132</f>
        <v/>
      </c>
      <c r="M132" s="14">
        <f>L132*K132</f>
        <v/>
      </c>
      <c r="N132" s="14">
        <f>L132-M132</f>
        <v/>
      </c>
      <c r="O132" s="14" t="n">
        <v>950</v>
      </c>
      <c r="P132" s="14">
        <f>O132*J132</f>
        <v/>
      </c>
      <c r="Q132" s="14">
        <f>N132-P132</f>
        <v/>
      </c>
      <c r="R132" s="16">
        <f>Q132/N132</f>
        <v/>
      </c>
    </row>
    <row r="133">
      <c r="A133" s="17" t="inlineStr">
        <is>
          <t>TRX-2026-0132</t>
        </is>
      </c>
      <c r="B133" s="18" t="inlineStr">
        <is>
          <t>2026-01-12</t>
        </is>
      </c>
      <c r="C133" s="17" t="inlineStr">
        <is>
          <t>Partner / Retailer</t>
        </is>
      </c>
      <c r="D133" s="17" t="inlineStr">
        <is>
          <t>Sud &amp; Isole</t>
        </is>
      </c>
      <c r="E133" s="17" t="inlineStr">
        <is>
          <t>Marco Rossi</t>
        </is>
      </c>
      <c r="F133" s="17" t="inlineStr">
        <is>
          <t>Pubblica Amministrazione</t>
        </is>
      </c>
      <c r="G133" s="17" t="inlineStr">
        <is>
          <t>Hardware &amp; IoT</t>
        </is>
      </c>
      <c r="H133" s="17" t="inlineStr">
        <is>
          <t>SENSOR-IOT-PACK</t>
        </is>
      </c>
      <c r="I133" s="19" t="n">
        <v>290</v>
      </c>
      <c r="J133" s="20" t="n">
        <v>2</v>
      </c>
      <c r="K133" s="21" t="n">
        <v>0.05</v>
      </c>
      <c r="L133" s="19">
        <f>I133*J133</f>
        <v/>
      </c>
      <c r="M133" s="19">
        <f>L133*K133</f>
        <v/>
      </c>
      <c r="N133" s="19">
        <f>L133-M133</f>
        <v/>
      </c>
      <c r="O133" s="19" t="n">
        <v>140</v>
      </c>
      <c r="P133" s="19">
        <f>O133*J133</f>
        <v/>
      </c>
      <c r="Q133" s="19">
        <f>N133-P133</f>
        <v/>
      </c>
      <c r="R133" s="21">
        <f>Q133/N133</f>
        <v/>
      </c>
    </row>
    <row r="134">
      <c r="A134" s="9" t="inlineStr">
        <is>
          <t>TRX-2025-0133</t>
        </is>
      </c>
      <c r="B134" s="13" t="inlineStr">
        <is>
          <t>2025-06-22</t>
        </is>
      </c>
      <c r="C134" s="9" t="inlineStr">
        <is>
          <t>E-commerce</t>
        </is>
      </c>
      <c r="D134" s="9" t="inlineStr">
        <is>
          <t>Nord-Est</t>
        </is>
      </c>
      <c r="E134" s="9" t="inlineStr">
        <is>
          <t>Marco Rossi</t>
        </is>
      </c>
      <c r="F134" s="9" t="inlineStr">
        <is>
          <t>PMI</t>
        </is>
      </c>
      <c r="G134" s="9" t="inlineStr">
        <is>
          <t>Consulenza &amp; Setup</t>
        </is>
      </c>
      <c r="H134" s="9" t="inlineStr">
        <is>
          <t>SECURITY-AUDIT</t>
        </is>
      </c>
      <c r="I134" s="14" t="n">
        <v>2200</v>
      </c>
      <c r="J134" s="15" t="n">
        <v>2</v>
      </c>
      <c r="K134" s="16" t="n">
        <v>0.1</v>
      </c>
      <c r="L134" s="14">
        <f>I134*J134</f>
        <v/>
      </c>
      <c r="M134" s="14">
        <f>L134*K134</f>
        <v/>
      </c>
      <c r="N134" s="14">
        <f>L134-M134</f>
        <v/>
      </c>
      <c r="O134" s="14" t="n">
        <v>950</v>
      </c>
      <c r="P134" s="14">
        <f>O134*J134</f>
        <v/>
      </c>
      <c r="Q134" s="14">
        <f>N134-P134</f>
        <v/>
      </c>
      <c r="R134" s="16">
        <f>Q134/N134</f>
        <v/>
      </c>
    </row>
    <row r="135">
      <c r="A135" s="17" t="inlineStr">
        <is>
          <t>TRX-2025-0134</t>
        </is>
      </c>
      <c r="B135" s="18" t="inlineStr">
        <is>
          <t>2026-03-30</t>
        </is>
      </c>
      <c r="C135" s="17" t="inlineStr">
        <is>
          <t>Partner / Retailer</t>
        </is>
      </c>
      <c r="D135" s="17" t="inlineStr">
        <is>
          <t>Estero (EU)</t>
        </is>
      </c>
      <c r="E135" s="17" t="inlineStr">
        <is>
          <t>Roberto Moretti</t>
        </is>
      </c>
      <c r="F135" s="17" t="inlineStr">
        <is>
          <t>PMI</t>
        </is>
      </c>
      <c r="G135" s="17" t="inlineStr">
        <is>
          <t>Consulenza &amp; Setup</t>
        </is>
      </c>
      <c r="H135" s="17" t="inlineStr">
        <is>
          <t>SECURITY-AUDIT</t>
        </is>
      </c>
      <c r="I135" s="19" t="n">
        <v>2200</v>
      </c>
      <c r="J135" s="20" t="n">
        <v>1</v>
      </c>
      <c r="K135" s="21" t="n">
        <v>0.15</v>
      </c>
      <c r="L135" s="19">
        <f>I135*J135</f>
        <v/>
      </c>
      <c r="M135" s="19">
        <f>L135*K135</f>
        <v/>
      </c>
      <c r="N135" s="19">
        <f>L135-M135</f>
        <v/>
      </c>
      <c r="O135" s="19" t="n">
        <v>950</v>
      </c>
      <c r="P135" s="19">
        <f>O135*J135</f>
        <v/>
      </c>
      <c r="Q135" s="19">
        <f>N135-P135</f>
        <v/>
      </c>
      <c r="R135" s="21">
        <f>Q135/N135</f>
        <v/>
      </c>
    </row>
    <row r="136">
      <c r="A136" s="9" t="inlineStr">
        <is>
          <t>TRX-2026-0135</t>
        </is>
      </c>
      <c r="B136" s="13" t="inlineStr">
        <is>
          <t>2025-02-13</t>
        </is>
      </c>
      <c r="C136" s="9" t="inlineStr">
        <is>
          <t>B2B Diretto</t>
        </is>
      </c>
      <c r="D136" s="9" t="inlineStr">
        <is>
          <t>Centro</t>
        </is>
      </c>
      <c r="E136" s="9" t="inlineStr">
        <is>
          <t>Alessandro Riva</t>
        </is>
      </c>
      <c r="F136" s="9" t="inlineStr">
        <is>
          <t>PMI</t>
        </is>
      </c>
      <c r="G136" s="9" t="inlineStr">
        <is>
          <t>Cloud &amp; Software</t>
        </is>
      </c>
      <c r="H136" s="9" t="inlineStr">
        <is>
          <t>AI-AGENT-MODULE</t>
        </is>
      </c>
      <c r="I136" s="14" t="n">
        <v>750</v>
      </c>
      <c r="J136" s="15" t="n">
        <v>10</v>
      </c>
      <c r="K136" s="16" t="n">
        <v>0.05</v>
      </c>
      <c r="L136" s="14">
        <f>I136*J136</f>
        <v/>
      </c>
      <c r="M136" s="14">
        <f>L136*K136</f>
        <v/>
      </c>
      <c r="N136" s="14">
        <f>L136-M136</f>
        <v/>
      </c>
      <c r="O136" s="14" t="n">
        <v>180</v>
      </c>
      <c r="P136" s="14">
        <f>O136*J136</f>
        <v/>
      </c>
      <c r="Q136" s="14">
        <f>N136-P136</f>
        <v/>
      </c>
      <c r="R136" s="16">
        <f>Q136/N136</f>
        <v/>
      </c>
    </row>
    <row r="137">
      <c r="A137" s="17" t="inlineStr">
        <is>
          <t>TRX-2026-0136</t>
        </is>
      </c>
      <c r="B137" s="18" t="inlineStr">
        <is>
          <t>2025-03-27</t>
        </is>
      </c>
      <c r="C137" s="17" t="inlineStr">
        <is>
          <t>B2B Diretto</t>
        </is>
      </c>
      <c r="D137" s="17" t="inlineStr">
        <is>
          <t>Nord-Ovest</t>
        </is>
      </c>
      <c r="E137" s="17" t="inlineStr">
        <is>
          <t>Marco Rossi</t>
        </is>
      </c>
      <c r="F137" s="17" t="inlineStr">
        <is>
          <t>PMI</t>
        </is>
      </c>
      <c r="G137" s="17" t="inlineStr">
        <is>
          <t>Hardware &amp; IoT</t>
        </is>
      </c>
      <c r="H137" s="17" t="inlineStr">
        <is>
          <t>GATEWAY-EDGE-PRO</t>
        </is>
      </c>
      <c r="I137" s="19" t="n">
        <v>890</v>
      </c>
      <c r="J137" s="20" t="n">
        <v>2</v>
      </c>
      <c r="K137" s="21" t="n">
        <v>0.05</v>
      </c>
      <c r="L137" s="19">
        <f>I137*J137</f>
        <v/>
      </c>
      <c r="M137" s="19">
        <f>L137*K137</f>
        <v/>
      </c>
      <c r="N137" s="19">
        <f>L137-M137</f>
        <v/>
      </c>
      <c r="O137" s="19" t="n">
        <v>520</v>
      </c>
      <c r="P137" s="19">
        <f>O137*J137</f>
        <v/>
      </c>
      <c r="Q137" s="19">
        <f>N137-P137</f>
        <v/>
      </c>
      <c r="R137" s="21">
        <f>Q137/N137</f>
        <v/>
      </c>
    </row>
    <row r="138">
      <c r="A138" s="9" t="inlineStr">
        <is>
          <t>TRX-2025-0137</t>
        </is>
      </c>
      <c r="B138" s="13" t="inlineStr">
        <is>
          <t>2026-01-28</t>
        </is>
      </c>
      <c r="C138" s="9" t="inlineStr">
        <is>
          <t>B2B Diretto</t>
        </is>
      </c>
      <c r="D138" s="9" t="inlineStr">
        <is>
          <t>Centro</t>
        </is>
      </c>
      <c r="E138" s="9" t="inlineStr">
        <is>
          <t>Roberto Moretti</t>
        </is>
      </c>
      <c r="F138" s="9" t="inlineStr">
        <is>
          <t>PMI</t>
        </is>
      </c>
      <c r="G138" s="9" t="inlineStr">
        <is>
          <t>Cloud &amp; Software</t>
        </is>
      </c>
      <c r="H138" s="9" t="inlineStr">
        <is>
          <t>SaaS-PLATFORM-ENT</t>
        </is>
      </c>
      <c r="I138" s="14" t="n">
        <v>1200</v>
      </c>
      <c r="J138" s="15" t="n">
        <v>1</v>
      </c>
      <c r="K138" s="16" t="n">
        <v>0.1</v>
      </c>
      <c r="L138" s="14">
        <f>I138*J138</f>
        <v/>
      </c>
      <c r="M138" s="14">
        <f>L138*K138</f>
        <v/>
      </c>
      <c r="N138" s="14">
        <f>L138-M138</f>
        <v/>
      </c>
      <c r="O138" s="14" t="n">
        <v>320</v>
      </c>
      <c r="P138" s="14">
        <f>O138*J138</f>
        <v/>
      </c>
      <c r="Q138" s="14">
        <f>N138-P138</f>
        <v/>
      </c>
      <c r="R138" s="16">
        <f>Q138/N138</f>
        <v/>
      </c>
    </row>
    <row r="139">
      <c r="A139" s="17" t="inlineStr">
        <is>
          <t>TRX-2025-0138</t>
        </is>
      </c>
      <c r="B139" s="18" t="inlineStr">
        <is>
          <t>2025-04-08</t>
        </is>
      </c>
      <c r="C139" s="17" t="inlineStr">
        <is>
          <t>B2B Diretto</t>
        </is>
      </c>
      <c r="D139" s="17" t="inlineStr">
        <is>
          <t>Sud &amp; Isole</t>
        </is>
      </c>
      <c r="E139" s="17" t="inlineStr">
        <is>
          <t>Elena Conti</t>
        </is>
      </c>
      <c r="F139" s="17" t="inlineStr">
        <is>
          <t>PMI</t>
        </is>
      </c>
      <c r="G139" s="17" t="inlineStr">
        <is>
          <t>Consulenza &amp; Setup</t>
        </is>
      </c>
      <c r="H139" s="17" t="inlineStr">
        <is>
          <t>SETUP-INTEGRATION</t>
        </is>
      </c>
      <c r="I139" s="19" t="n">
        <v>1500</v>
      </c>
      <c r="J139" s="20" t="n">
        <v>2</v>
      </c>
      <c r="K139" s="21" t="n">
        <v>0.1</v>
      </c>
      <c r="L139" s="19">
        <f>I139*J139</f>
        <v/>
      </c>
      <c r="M139" s="19">
        <f>L139*K139</f>
        <v/>
      </c>
      <c r="N139" s="19">
        <f>L139-M139</f>
        <v/>
      </c>
      <c r="O139" s="19" t="n">
        <v>650</v>
      </c>
      <c r="P139" s="19">
        <f>O139*J139</f>
        <v/>
      </c>
      <c r="Q139" s="19">
        <f>N139-P139</f>
        <v/>
      </c>
      <c r="R139" s="21">
        <f>Q139/N139</f>
        <v/>
      </c>
    </row>
    <row r="140">
      <c r="A140" s="9" t="inlineStr">
        <is>
          <t>TRX-2025-0139</t>
        </is>
      </c>
      <c r="B140" s="13" t="inlineStr">
        <is>
          <t>2026-01-03</t>
        </is>
      </c>
      <c r="C140" s="9" t="inlineStr">
        <is>
          <t>B2B Diretto</t>
        </is>
      </c>
      <c r="D140" s="9" t="inlineStr">
        <is>
          <t>Centro</t>
        </is>
      </c>
      <c r="E140" s="9" t="inlineStr">
        <is>
          <t>Roberto Moretti</t>
        </is>
      </c>
      <c r="F140" s="9" t="inlineStr">
        <is>
          <t>PMI</t>
        </is>
      </c>
      <c r="G140" s="9" t="inlineStr">
        <is>
          <t>Hardware &amp; IoT</t>
        </is>
      </c>
      <c r="H140" s="9" t="inlineStr">
        <is>
          <t>SENSOR-IOT-PACK</t>
        </is>
      </c>
      <c r="I140" s="14" t="n">
        <v>290</v>
      </c>
      <c r="J140" s="15" t="n">
        <v>1</v>
      </c>
      <c r="K140" s="16" t="n">
        <v>0</v>
      </c>
      <c r="L140" s="14">
        <f>I140*J140</f>
        <v/>
      </c>
      <c r="M140" s="14">
        <f>L140*K140</f>
        <v/>
      </c>
      <c r="N140" s="14">
        <f>L140-M140</f>
        <v/>
      </c>
      <c r="O140" s="14" t="n">
        <v>140</v>
      </c>
      <c r="P140" s="14">
        <f>O140*J140</f>
        <v/>
      </c>
      <c r="Q140" s="14">
        <f>N140-P140</f>
        <v/>
      </c>
      <c r="R140" s="16">
        <f>Q140/N140</f>
        <v/>
      </c>
    </row>
    <row r="141">
      <c r="A141" s="17" t="inlineStr">
        <is>
          <t>TRX-2025-0140</t>
        </is>
      </c>
      <c r="B141" s="18" t="inlineStr">
        <is>
          <t>2025-01-22</t>
        </is>
      </c>
      <c r="C141" s="17" t="inlineStr">
        <is>
          <t>B2B Diretto</t>
        </is>
      </c>
      <c r="D141" s="17" t="inlineStr">
        <is>
          <t>Nord-Est</t>
        </is>
      </c>
      <c r="E141" s="17" t="inlineStr">
        <is>
          <t>Giulia Bianchi</t>
        </is>
      </c>
      <c r="F141" s="17" t="inlineStr">
        <is>
          <t>Professionisti / SOHO</t>
        </is>
      </c>
      <c r="G141" s="17" t="inlineStr">
        <is>
          <t>Hardware &amp; IoT</t>
        </is>
      </c>
      <c r="H141" s="17" t="inlineStr">
        <is>
          <t>SENSOR-IOT-PACK</t>
        </is>
      </c>
      <c r="I141" s="19" t="n">
        <v>290</v>
      </c>
      <c r="J141" s="20" t="n">
        <v>2</v>
      </c>
      <c r="K141" s="21" t="n">
        <v>0</v>
      </c>
      <c r="L141" s="19">
        <f>I141*J141</f>
        <v/>
      </c>
      <c r="M141" s="19">
        <f>L141*K141</f>
        <v/>
      </c>
      <c r="N141" s="19">
        <f>L141-M141</f>
        <v/>
      </c>
      <c r="O141" s="19" t="n">
        <v>140</v>
      </c>
      <c r="P141" s="19">
        <f>O141*J141</f>
        <v/>
      </c>
      <c r="Q141" s="19">
        <f>N141-P141</f>
        <v/>
      </c>
      <c r="R141" s="21">
        <f>Q141/N141</f>
        <v/>
      </c>
    </row>
    <row r="142">
      <c r="A142" s="9" t="inlineStr">
        <is>
          <t>TRX-2026-0141</t>
        </is>
      </c>
      <c r="B142" s="13" t="inlineStr">
        <is>
          <t>2025-07-13</t>
        </is>
      </c>
      <c r="C142" s="9" t="inlineStr">
        <is>
          <t>B2B Diretto</t>
        </is>
      </c>
      <c r="D142" s="9" t="inlineStr">
        <is>
          <t>Estero (EU)</t>
        </is>
      </c>
      <c r="E142" s="9" t="inlineStr">
        <is>
          <t>Giulia Bianchi</t>
        </is>
      </c>
      <c r="F142" s="9" t="inlineStr">
        <is>
          <t>PMI</t>
        </is>
      </c>
      <c r="G142" s="9" t="inlineStr">
        <is>
          <t>Hardware &amp; IoT</t>
        </is>
      </c>
      <c r="H142" s="9" t="inlineStr">
        <is>
          <t>TERMINAL-SMART-V2</t>
        </is>
      </c>
      <c r="I142" s="14" t="n">
        <v>640</v>
      </c>
      <c r="J142" s="15" t="n">
        <v>1</v>
      </c>
      <c r="K142" s="16" t="n">
        <v>0.15</v>
      </c>
      <c r="L142" s="14">
        <f>I142*J142</f>
        <v/>
      </c>
      <c r="M142" s="14">
        <f>L142*K142</f>
        <v/>
      </c>
      <c r="N142" s="14">
        <f>L142-M142</f>
        <v/>
      </c>
      <c r="O142" s="14" t="n">
        <v>380</v>
      </c>
      <c r="P142" s="14">
        <f>O142*J142</f>
        <v/>
      </c>
      <c r="Q142" s="14">
        <f>N142-P142</f>
        <v/>
      </c>
      <c r="R142" s="16">
        <f>Q142/N142</f>
        <v/>
      </c>
    </row>
    <row r="143">
      <c r="A143" s="17" t="inlineStr">
        <is>
          <t>TRX-2025-0142</t>
        </is>
      </c>
      <c r="B143" s="18" t="inlineStr">
        <is>
          <t>2026-04-06</t>
        </is>
      </c>
      <c r="C143" s="17" t="inlineStr">
        <is>
          <t>B2B Diretto</t>
        </is>
      </c>
      <c r="D143" s="17" t="inlineStr">
        <is>
          <t>Nord-Ovest</t>
        </is>
      </c>
      <c r="E143" s="17" t="inlineStr">
        <is>
          <t>Alessandro Riva</t>
        </is>
      </c>
      <c r="F143" s="17" t="inlineStr">
        <is>
          <t>PMI</t>
        </is>
      </c>
      <c r="G143" s="17" t="inlineStr">
        <is>
          <t>Consulenza &amp; Setup</t>
        </is>
      </c>
      <c r="H143" s="17" t="inlineStr">
        <is>
          <t>SETUP-INTEGRATION</t>
        </is>
      </c>
      <c r="I143" s="19" t="n">
        <v>1500</v>
      </c>
      <c r="J143" s="20" t="n">
        <v>5</v>
      </c>
      <c r="K143" s="21" t="n">
        <v>0.05</v>
      </c>
      <c r="L143" s="19">
        <f>I143*J143</f>
        <v/>
      </c>
      <c r="M143" s="19">
        <f>L143*K143</f>
        <v/>
      </c>
      <c r="N143" s="19">
        <f>L143-M143</f>
        <v/>
      </c>
      <c r="O143" s="19" t="n">
        <v>650</v>
      </c>
      <c r="P143" s="19">
        <f>O143*J143</f>
        <v/>
      </c>
      <c r="Q143" s="19">
        <f>N143-P143</f>
        <v/>
      </c>
      <c r="R143" s="21">
        <f>Q143/N143</f>
        <v/>
      </c>
    </row>
    <row r="144">
      <c r="A144" s="9" t="inlineStr">
        <is>
          <t>TRX-2025-0143</t>
        </is>
      </c>
      <c r="B144" s="13" t="inlineStr">
        <is>
          <t>2026-03-05</t>
        </is>
      </c>
      <c r="C144" s="9" t="inlineStr">
        <is>
          <t>B2B Diretto</t>
        </is>
      </c>
      <c r="D144" s="9" t="inlineStr">
        <is>
          <t>Centro</t>
        </is>
      </c>
      <c r="E144" s="9" t="inlineStr">
        <is>
          <t>Giulia Bianchi</t>
        </is>
      </c>
      <c r="F144" s="9" t="inlineStr">
        <is>
          <t>Professionisti / SOHO</t>
        </is>
      </c>
      <c r="G144" s="9" t="inlineStr">
        <is>
          <t>Consulenza &amp; Setup</t>
        </is>
      </c>
      <c r="H144" s="9" t="inlineStr">
        <is>
          <t>TRAINING-ONBOARDING</t>
        </is>
      </c>
      <c r="I144" s="14" t="n">
        <v>800</v>
      </c>
      <c r="J144" s="15" t="n">
        <v>8</v>
      </c>
      <c r="K144" s="16" t="n">
        <v>0.15</v>
      </c>
      <c r="L144" s="14">
        <f>I144*J144</f>
        <v/>
      </c>
      <c r="M144" s="14">
        <f>L144*K144</f>
        <v/>
      </c>
      <c r="N144" s="14">
        <f>L144-M144</f>
        <v/>
      </c>
      <c r="O144" s="14" t="n">
        <v>350</v>
      </c>
      <c r="P144" s="14">
        <f>O144*J144</f>
        <v/>
      </c>
      <c r="Q144" s="14">
        <f>N144-P144</f>
        <v/>
      </c>
      <c r="R144" s="16">
        <f>Q144/N144</f>
        <v/>
      </c>
    </row>
    <row r="145">
      <c r="A145" s="17" t="inlineStr">
        <is>
          <t>TRX-2025-0144</t>
        </is>
      </c>
      <c r="B145" s="18" t="inlineStr">
        <is>
          <t>2026-04-07</t>
        </is>
      </c>
      <c r="C145" s="17" t="inlineStr">
        <is>
          <t>Partner / Retailer</t>
        </is>
      </c>
      <c r="D145" s="17" t="inlineStr">
        <is>
          <t>Nord-Est</t>
        </is>
      </c>
      <c r="E145" s="17" t="inlineStr">
        <is>
          <t>Elena Conti</t>
        </is>
      </c>
      <c r="F145" s="17" t="inlineStr">
        <is>
          <t>PMI</t>
        </is>
      </c>
      <c r="G145" s="17" t="inlineStr">
        <is>
          <t>Consulenza &amp; Setup</t>
        </is>
      </c>
      <c r="H145" s="17" t="inlineStr">
        <is>
          <t>SECURITY-AUDIT</t>
        </is>
      </c>
      <c r="I145" s="19" t="n">
        <v>2200</v>
      </c>
      <c r="J145" s="20" t="n">
        <v>1</v>
      </c>
      <c r="K145" s="21" t="n">
        <v>0.15</v>
      </c>
      <c r="L145" s="19">
        <f>I145*J145</f>
        <v/>
      </c>
      <c r="M145" s="19">
        <f>L145*K145</f>
        <v/>
      </c>
      <c r="N145" s="19">
        <f>L145-M145</f>
        <v/>
      </c>
      <c r="O145" s="19" t="n">
        <v>950</v>
      </c>
      <c r="P145" s="19">
        <f>O145*J145</f>
        <v/>
      </c>
      <c r="Q145" s="19">
        <f>N145-P145</f>
        <v/>
      </c>
      <c r="R145" s="21">
        <f>Q145/N145</f>
        <v/>
      </c>
    </row>
    <row r="146">
      <c r="A146" s="9" t="inlineStr">
        <is>
          <t>TRX-2026-0145</t>
        </is>
      </c>
      <c r="B146" s="13" t="inlineStr">
        <is>
          <t>2025-08-29</t>
        </is>
      </c>
      <c r="C146" s="9" t="inlineStr">
        <is>
          <t>B2B Diretto</t>
        </is>
      </c>
      <c r="D146" s="9" t="inlineStr">
        <is>
          <t>Nord-Est</t>
        </is>
      </c>
      <c r="E146" s="9" t="inlineStr">
        <is>
          <t>Marco Rossi</t>
        </is>
      </c>
      <c r="F146" s="9" t="inlineStr">
        <is>
          <t>PMI</t>
        </is>
      </c>
      <c r="G146" s="9" t="inlineStr">
        <is>
          <t>Cloud &amp; Software</t>
        </is>
      </c>
      <c r="H146" s="9" t="inlineStr">
        <is>
          <t>SaaS-CORE-SMB</t>
        </is>
      </c>
      <c r="I146" s="14" t="n">
        <v>450</v>
      </c>
      <c r="J146" s="15" t="n">
        <v>3</v>
      </c>
      <c r="K146" s="16" t="n">
        <v>0</v>
      </c>
      <c r="L146" s="14">
        <f>I146*J146</f>
        <v/>
      </c>
      <c r="M146" s="14">
        <f>L146*K146</f>
        <v/>
      </c>
      <c r="N146" s="14">
        <f>L146-M146</f>
        <v/>
      </c>
      <c r="O146" s="14" t="n">
        <v>110</v>
      </c>
      <c r="P146" s="14">
        <f>O146*J146</f>
        <v/>
      </c>
      <c r="Q146" s="14">
        <f>N146-P146</f>
        <v/>
      </c>
      <c r="R146" s="16">
        <f>Q146/N146</f>
        <v/>
      </c>
    </row>
    <row r="147">
      <c r="A147" s="17" t="inlineStr">
        <is>
          <t>TRX-2026-0146</t>
        </is>
      </c>
      <c r="B147" s="18" t="inlineStr">
        <is>
          <t>2026-01-09</t>
        </is>
      </c>
      <c r="C147" s="17" t="inlineStr">
        <is>
          <t>E-commerce</t>
        </is>
      </c>
      <c r="D147" s="17" t="inlineStr">
        <is>
          <t>Nord-Est</t>
        </is>
      </c>
      <c r="E147" s="17" t="inlineStr">
        <is>
          <t>Giulia Bianchi</t>
        </is>
      </c>
      <c r="F147" s="17" t="inlineStr">
        <is>
          <t>Enterprise</t>
        </is>
      </c>
      <c r="G147" s="17" t="inlineStr">
        <is>
          <t>Hardware &amp; IoT</t>
        </is>
      </c>
      <c r="H147" s="17" t="inlineStr">
        <is>
          <t>SENSOR-IOT-PACK</t>
        </is>
      </c>
      <c r="I147" s="19" t="n">
        <v>290</v>
      </c>
      <c r="J147" s="20" t="n">
        <v>1</v>
      </c>
      <c r="K147" s="21" t="n">
        <v>0.05</v>
      </c>
      <c r="L147" s="19">
        <f>I147*J147</f>
        <v/>
      </c>
      <c r="M147" s="19">
        <f>L147*K147</f>
        <v/>
      </c>
      <c r="N147" s="19">
        <f>L147-M147</f>
        <v/>
      </c>
      <c r="O147" s="19" t="n">
        <v>140</v>
      </c>
      <c r="P147" s="19">
        <f>O147*J147</f>
        <v/>
      </c>
      <c r="Q147" s="19">
        <f>N147-P147</f>
        <v/>
      </c>
      <c r="R147" s="21">
        <f>Q147/N147</f>
        <v/>
      </c>
    </row>
    <row r="148">
      <c r="A148" s="9" t="inlineStr">
        <is>
          <t>TRX-2025-0147</t>
        </is>
      </c>
      <c r="B148" s="13" t="inlineStr">
        <is>
          <t>2025-07-15</t>
        </is>
      </c>
      <c r="C148" s="9" t="inlineStr">
        <is>
          <t>Partner / Retailer</t>
        </is>
      </c>
      <c r="D148" s="9" t="inlineStr">
        <is>
          <t>Sud &amp; Isole</t>
        </is>
      </c>
      <c r="E148" s="9" t="inlineStr">
        <is>
          <t>Elena Conti</t>
        </is>
      </c>
      <c r="F148" s="9" t="inlineStr">
        <is>
          <t>Professionisti / SOHO</t>
        </is>
      </c>
      <c r="G148" s="9" t="inlineStr">
        <is>
          <t>Consulenza &amp; Setup</t>
        </is>
      </c>
      <c r="H148" s="9" t="inlineStr">
        <is>
          <t>TRAINING-ONBOARDING</t>
        </is>
      </c>
      <c r="I148" s="14" t="n">
        <v>800</v>
      </c>
      <c r="J148" s="15" t="n">
        <v>5</v>
      </c>
      <c r="K148" s="16" t="n">
        <v>0.15</v>
      </c>
      <c r="L148" s="14">
        <f>I148*J148</f>
        <v/>
      </c>
      <c r="M148" s="14">
        <f>L148*K148</f>
        <v/>
      </c>
      <c r="N148" s="14">
        <f>L148-M148</f>
        <v/>
      </c>
      <c r="O148" s="14" t="n">
        <v>350</v>
      </c>
      <c r="P148" s="14">
        <f>O148*J148</f>
        <v/>
      </c>
      <c r="Q148" s="14">
        <f>N148-P148</f>
        <v/>
      </c>
      <c r="R148" s="16">
        <f>Q148/N148</f>
        <v/>
      </c>
    </row>
    <row r="149">
      <c r="A149" s="17" t="inlineStr">
        <is>
          <t>TRX-2026-0148</t>
        </is>
      </c>
      <c r="B149" s="18" t="inlineStr">
        <is>
          <t>2025-12-04</t>
        </is>
      </c>
      <c r="C149" s="17" t="inlineStr">
        <is>
          <t>B2B Diretto</t>
        </is>
      </c>
      <c r="D149" s="17" t="inlineStr">
        <is>
          <t>Nord-Ovest</t>
        </is>
      </c>
      <c r="E149" s="17" t="inlineStr">
        <is>
          <t>Elena Conti</t>
        </is>
      </c>
      <c r="F149" s="17" t="inlineStr">
        <is>
          <t>PMI</t>
        </is>
      </c>
      <c r="G149" s="17" t="inlineStr">
        <is>
          <t>Hardware &amp; IoT</t>
        </is>
      </c>
      <c r="H149" s="17" t="inlineStr">
        <is>
          <t>SENSOR-IOT-PACK</t>
        </is>
      </c>
      <c r="I149" s="19" t="n">
        <v>290</v>
      </c>
      <c r="J149" s="20" t="n">
        <v>8</v>
      </c>
      <c r="K149" s="21" t="n">
        <v>0.05</v>
      </c>
      <c r="L149" s="19">
        <f>I149*J149</f>
        <v/>
      </c>
      <c r="M149" s="19">
        <f>L149*K149</f>
        <v/>
      </c>
      <c r="N149" s="19">
        <f>L149-M149</f>
        <v/>
      </c>
      <c r="O149" s="19" t="n">
        <v>140</v>
      </c>
      <c r="P149" s="19">
        <f>O149*J149</f>
        <v/>
      </c>
      <c r="Q149" s="19">
        <f>N149-P149</f>
        <v/>
      </c>
      <c r="R149" s="21">
        <f>Q149/N149</f>
        <v/>
      </c>
    </row>
    <row r="150">
      <c r="A150" s="9" t="inlineStr">
        <is>
          <t>TRX-2026-0149</t>
        </is>
      </c>
      <c r="B150" s="13" t="inlineStr">
        <is>
          <t>2026-06-18</t>
        </is>
      </c>
      <c r="C150" s="9" t="inlineStr">
        <is>
          <t>B2B Diretto</t>
        </is>
      </c>
      <c r="D150" s="9" t="inlineStr">
        <is>
          <t>Sud &amp; Isole</t>
        </is>
      </c>
      <c r="E150" s="9" t="inlineStr">
        <is>
          <t>Elena Conti</t>
        </is>
      </c>
      <c r="F150" s="9" t="inlineStr">
        <is>
          <t>Enterprise</t>
        </is>
      </c>
      <c r="G150" s="9" t="inlineStr">
        <is>
          <t>Hardware &amp; IoT</t>
        </is>
      </c>
      <c r="H150" s="9" t="inlineStr">
        <is>
          <t>TERMINAL-SMART-V2</t>
        </is>
      </c>
      <c r="I150" s="14" t="n">
        <v>640</v>
      </c>
      <c r="J150" s="15" t="n">
        <v>8</v>
      </c>
      <c r="K150" s="16" t="n">
        <v>0</v>
      </c>
      <c r="L150" s="14">
        <f>I150*J150</f>
        <v/>
      </c>
      <c r="M150" s="14">
        <f>L150*K150</f>
        <v/>
      </c>
      <c r="N150" s="14">
        <f>L150-M150</f>
        <v/>
      </c>
      <c r="O150" s="14" t="n">
        <v>380</v>
      </c>
      <c r="P150" s="14">
        <f>O150*J150</f>
        <v/>
      </c>
      <c r="Q150" s="14">
        <f>N150-P150</f>
        <v/>
      </c>
      <c r="R150" s="16">
        <f>Q150/N150</f>
        <v/>
      </c>
    </row>
    <row r="151">
      <c r="A151" s="17" t="inlineStr">
        <is>
          <t>TRX-2025-0150</t>
        </is>
      </c>
      <c r="B151" s="18" t="inlineStr">
        <is>
          <t>2026-06-18</t>
        </is>
      </c>
      <c r="C151" s="17" t="inlineStr">
        <is>
          <t>B2B Diretto</t>
        </is>
      </c>
      <c r="D151" s="17" t="inlineStr">
        <is>
          <t>Estero (EU)</t>
        </is>
      </c>
      <c r="E151" s="17" t="inlineStr">
        <is>
          <t>Roberto Moretti</t>
        </is>
      </c>
      <c r="F151" s="17" t="inlineStr">
        <is>
          <t>Pubblica Amministrazione</t>
        </is>
      </c>
      <c r="G151" s="17" t="inlineStr">
        <is>
          <t>Cloud &amp; Software</t>
        </is>
      </c>
      <c r="H151" s="17" t="inlineStr">
        <is>
          <t>SaaS-PLATFORM-ENT</t>
        </is>
      </c>
      <c r="I151" s="19" t="n">
        <v>1200</v>
      </c>
      <c r="J151" s="20" t="n">
        <v>2</v>
      </c>
      <c r="K151" s="21" t="n">
        <v>0.1</v>
      </c>
      <c r="L151" s="19">
        <f>I151*J151</f>
        <v/>
      </c>
      <c r="M151" s="19">
        <f>L151*K151</f>
        <v/>
      </c>
      <c r="N151" s="19">
        <f>L151-M151</f>
        <v/>
      </c>
      <c r="O151" s="19" t="n">
        <v>320</v>
      </c>
      <c r="P151" s="19">
        <f>O151*J151</f>
        <v/>
      </c>
      <c r="Q151" s="19">
        <f>N151-P151</f>
        <v/>
      </c>
      <c r="R151" s="21">
        <f>Q151/N151</f>
        <v/>
      </c>
    </row>
    <row r="152">
      <c r="A152" s="9" t="inlineStr">
        <is>
          <t>TRX-2025-0151</t>
        </is>
      </c>
      <c r="B152" s="13" t="inlineStr">
        <is>
          <t>2025-12-10</t>
        </is>
      </c>
      <c r="C152" s="9" t="inlineStr">
        <is>
          <t>E-commerce</t>
        </is>
      </c>
      <c r="D152" s="9" t="inlineStr">
        <is>
          <t>Estero (EU)</t>
        </is>
      </c>
      <c r="E152" s="9" t="inlineStr">
        <is>
          <t>Giulia Bianchi</t>
        </is>
      </c>
      <c r="F152" s="9" t="inlineStr">
        <is>
          <t>Pubblica Amministrazione</t>
        </is>
      </c>
      <c r="G152" s="9" t="inlineStr">
        <is>
          <t>Consulenza &amp; Setup</t>
        </is>
      </c>
      <c r="H152" s="9" t="inlineStr">
        <is>
          <t>TRAINING-ONBOARDING</t>
        </is>
      </c>
      <c r="I152" s="14" t="n">
        <v>800</v>
      </c>
      <c r="J152" s="15" t="n">
        <v>1</v>
      </c>
      <c r="K152" s="16" t="n">
        <v>0.15</v>
      </c>
      <c r="L152" s="14">
        <f>I152*J152</f>
        <v/>
      </c>
      <c r="M152" s="14">
        <f>L152*K152</f>
        <v/>
      </c>
      <c r="N152" s="14">
        <f>L152-M152</f>
        <v/>
      </c>
      <c r="O152" s="14" t="n">
        <v>350</v>
      </c>
      <c r="P152" s="14">
        <f>O152*J152</f>
        <v/>
      </c>
      <c r="Q152" s="14">
        <f>N152-P152</f>
        <v/>
      </c>
      <c r="R152" s="16">
        <f>Q152/N152</f>
        <v/>
      </c>
    </row>
    <row r="153">
      <c r="A153" s="17" t="inlineStr">
        <is>
          <t>TRX-2026-0152</t>
        </is>
      </c>
      <c r="B153" s="18" t="inlineStr">
        <is>
          <t>2025-04-11</t>
        </is>
      </c>
      <c r="C153" s="17" t="inlineStr">
        <is>
          <t>E-commerce</t>
        </is>
      </c>
      <c r="D153" s="17" t="inlineStr">
        <is>
          <t>Nord-Est</t>
        </is>
      </c>
      <c r="E153" s="17" t="inlineStr">
        <is>
          <t>Marco Rossi</t>
        </is>
      </c>
      <c r="F153" s="17" t="inlineStr">
        <is>
          <t>Enterprise</t>
        </is>
      </c>
      <c r="G153" s="17" t="inlineStr">
        <is>
          <t>Consulenza &amp; Setup</t>
        </is>
      </c>
      <c r="H153" s="17" t="inlineStr">
        <is>
          <t>TRAINING-ONBOARDING</t>
        </is>
      </c>
      <c r="I153" s="19" t="n">
        <v>800</v>
      </c>
      <c r="J153" s="20" t="n">
        <v>20</v>
      </c>
      <c r="K153" s="21" t="n">
        <v>0.05</v>
      </c>
      <c r="L153" s="19">
        <f>I153*J153</f>
        <v/>
      </c>
      <c r="M153" s="19">
        <f>L153*K153</f>
        <v/>
      </c>
      <c r="N153" s="19">
        <f>L153-M153</f>
        <v/>
      </c>
      <c r="O153" s="19" t="n">
        <v>350</v>
      </c>
      <c r="P153" s="19">
        <f>O153*J153</f>
        <v/>
      </c>
      <c r="Q153" s="19">
        <f>N153-P153</f>
        <v/>
      </c>
      <c r="R153" s="21">
        <f>Q153/N153</f>
        <v/>
      </c>
    </row>
    <row r="154">
      <c r="A154" s="9" t="inlineStr">
        <is>
          <t>TRX-2025-0153</t>
        </is>
      </c>
      <c r="B154" s="13" t="inlineStr">
        <is>
          <t>2026-01-22</t>
        </is>
      </c>
      <c r="C154" s="9" t="inlineStr">
        <is>
          <t>B2B Diretto</t>
        </is>
      </c>
      <c r="D154" s="9" t="inlineStr">
        <is>
          <t>Centro</t>
        </is>
      </c>
      <c r="E154" s="9" t="inlineStr">
        <is>
          <t>Elena Conti</t>
        </is>
      </c>
      <c r="F154" s="9" t="inlineStr">
        <is>
          <t>PMI</t>
        </is>
      </c>
      <c r="G154" s="9" t="inlineStr">
        <is>
          <t>Hardware &amp; IoT</t>
        </is>
      </c>
      <c r="H154" s="9" t="inlineStr">
        <is>
          <t>TERMINAL-SMART-V2</t>
        </is>
      </c>
      <c r="I154" s="14" t="n">
        <v>640</v>
      </c>
      <c r="J154" s="15" t="n">
        <v>5</v>
      </c>
      <c r="K154" s="16" t="n">
        <v>0</v>
      </c>
      <c r="L154" s="14">
        <f>I154*J154</f>
        <v/>
      </c>
      <c r="M154" s="14">
        <f>L154*K154</f>
        <v/>
      </c>
      <c r="N154" s="14">
        <f>L154-M154</f>
        <v/>
      </c>
      <c r="O154" s="14" t="n">
        <v>380</v>
      </c>
      <c r="P154" s="14">
        <f>O154*J154</f>
        <v/>
      </c>
      <c r="Q154" s="14">
        <f>N154-P154</f>
        <v/>
      </c>
      <c r="R154" s="16">
        <f>Q154/N154</f>
        <v/>
      </c>
    </row>
    <row r="155">
      <c r="A155" s="17" t="inlineStr">
        <is>
          <t>TRX-2026-0154</t>
        </is>
      </c>
      <c r="B155" s="18" t="inlineStr">
        <is>
          <t>2025-03-23</t>
        </is>
      </c>
      <c r="C155" s="17" t="inlineStr">
        <is>
          <t>B2B Diretto</t>
        </is>
      </c>
      <c r="D155" s="17" t="inlineStr">
        <is>
          <t>Estero (EU)</t>
        </is>
      </c>
      <c r="E155" s="17" t="inlineStr">
        <is>
          <t>Elena Conti</t>
        </is>
      </c>
      <c r="F155" s="17" t="inlineStr">
        <is>
          <t>Enterprise</t>
        </is>
      </c>
      <c r="G155" s="17" t="inlineStr">
        <is>
          <t>Cloud &amp; Software</t>
        </is>
      </c>
      <c r="H155" s="17" t="inlineStr">
        <is>
          <t>AI-AGENT-MODULE</t>
        </is>
      </c>
      <c r="I155" s="19" t="n">
        <v>750</v>
      </c>
      <c r="J155" s="20" t="n">
        <v>2</v>
      </c>
      <c r="K155" s="21" t="n">
        <v>0.05</v>
      </c>
      <c r="L155" s="19">
        <f>I155*J155</f>
        <v/>
      </c>
      <c r="M155" s="19">
        <f>L155*K155</f>
        <v/>
      </c>
      <c r="N155" s="19">
        <f>L155-M155</f>
        <v/>
      </c>
      <c r="O155" s="19" t="n">
        <v>180</v>
      </c>
      <c r="P155" s="19">
        <f>O155*J155</f>
        <v/>
      </c>
      <c r="Q155" s="19">
        <f>N155-P155</f>
        <v/>
      </c>
      <c r="R155" s="21">
        <f>Q155/N155</f>
        <v/>
      </c>
    </row>
    <row r="156">
      <c r="A156" s="9" t="inlineStr">
        <is>
          <t>TRX-2025-0155</t>
        </is>
      </c>
      <c r="B156" s="13" t="inlineStr">
        <is>
          <t>2026-01-08</t>
        </is>
      </c>
      <c r="C156" s="9" t="inlineStr">
        <is>
          <t>B2B Diretto</t>
        </is>
      </c>
      <c r="D156" s="9" t="inlineStr">
        <is>
          <t>Sud &amp; Isole</t>
        </is>
      </c>
      <c r="E156" s="9" t="inlineStr">
        <is>
          <t>Giulia Bianchi</t>
        </is>
      </c>
      <c r="F156" s="9" t="inlineStr">
        <is>
          <t>PMI</t>
        </is>
      </c>
      <c r="G156" s="9" t="inlineStr">
        <is>
          <t>Cloud &amp; Software</t>
        </is>
      </c>
      <c r="H156" s="9" t="inlineStr">
        <is>
          <t>SaaS-CORE-SMB</t>
        </is>
      </c>
      <c r="I156" s="14" t="n">
        <v>450</v>
      </c>
      <c r="J156" s="15" t="n">
        <v>2</v>
      </c>
      <c r="K156" s="16" t="n">
        <v>0</v>
      </c>
      <c r="L156" s="14">
        <f>I156*J156</f>
        <v/>
      </c>
      <c r="M156" s="14">
        <f>L156*K156</f>
        <v/>
      </c>
      <c r="N156" s="14">
        <f>L156-M156</f>
        <v/>
      </c>
      <c r="O156" s="14" t="n">
        <v>110</v>
      </c>
      <c r="P156" s="14">
        <f>O156*J156</f>
        <v/>
      </c>
      <c r="Q156" s="14">
        <f>N156-P156</f>
        <v/>
      </c>
      <c r="R156" s="16">
        <f>Q156/N156</f>
        <v/>
      </c>
    </row>
    <row r="157">
      <c r="A157" s="17" t="inlineStr">
        <is>
          <t>TRX-2026-0156</t>
        </is>
      </c>
      <c r="B157" s="18" t="inlineStr">
        <is>
          <t>2025-05-25</t>
        </is>
      </c>
      <c r="C157" s="17" t="inlineStr">
        <is>
          <t>E-commerce</t>
        </is>
      </c>
      <c r="D157" s="17" t="inlineStr">
        <is>
          <t>Estero (EU)</t>
        </is>
      </c>
      <c r="E157" s="17" t="inlineStr">
        <is>
          <t>Marco Rossi</t>
        </is>
      </c>
      <c r="F157" s="17" t="inlineStr">
        <is>
          <t>PMI</t>
        </is>
      </c>
      <c r="G157" s="17" t="inlineStr">
        <is>
          <t>Consulenza &amp; Setup</t>
        </is>
      </c>
      <c r="H157" s="17" t="inlineStr">
        <is>
          <t>SETUP-INTEGRATION</t>
        </is>
      </c>
      <c r="I157" s="19" t="n">
        <v>1500</v>
      </c>
      <c r="J157" s="20" t="n">
        <v>3</v>
      </c>
      <c r="K157" s="21" t="n">
        <v>0</v>
      </c>
      <c r="L157" s="19">
        <f>I157*J157</f>
        <v/>
      </c>
      <c r="M157" s="19">
        <f>L157*K157</f>
        <v/>
      </c>
      <c r="N157" s="19">
        <f>L157-M157</f>
        <v/>
      </c>
      <c r="O157" s="19" t="n">
        <v>650</v>
      </c>
      <c r="P157" s="19">
        <f>O157*J157</f>
        <v/>
      </c>
      <c r="Q157" s="19">
        <f>N157-P157</f>
        <v/>
      </c>
      <c r="R157" s="21">
        <f>Q157/N157</f>
        <v/>
      </c>
    </row>
    <row r="158">
      <c r="A158" s="9" t="inlineStr">
        <is>
          <t>TRX-2026-0157</t>
        </is>
      </c>
      <c r="B158" s="13" t="inlineStr">
        <is>
          <t>2025-07-18</t>
        </is>
      </c>
      <c r="C158" s="9" t="inlineStr">
        <is>
          <t>Partner / Retailer</t>
        </is>
      </c>
      <c r="D158" s="9" t="inlineStr">
        <is>
          <t>Centro</t>
        </is>
      </c>
      <c r="E158" s="9" t="inlineStr">
        <is>
          <t>Elena Conti</t>
        </is>
      </c>
      <c r="F158" s="9" t="inlineStr">
        <is>
          <t>Enterprise</t>
        </is>
      </c>
      <c r="G158" s="9" t="inlineStr">
        <is>
          <t>Cloud &amp; Software</t>
        </is>
      </c>
      <c r="H158" s="9" t="inlineStr">
        <is>
          <t>AI-AGENT-MODULE</t>
        </is>
      </c>
      <c r="I158" s="14" t="n">
        <v>750</v>
      </c>
      <c r="J158" s="15" t="n">
        <v>1</v>
      </c>
      <c r="K158" s="16" t="n">
        <v>0</v>
      </c>
      <c r="L158" s="14">
        <f>I158*J158</f>
        <v/>
      </c>
      <c r="M158" s="14">
        <f>L158*K158</f>
        <v/>
      </c>
      <c r="N158" s="14">
        <f>L158-M158</f>
        <v/>
      </c>
      <c r="O158" s="14" t="n">
        <v>180</v>
      </c>
      <c r="P158" s="14">
        <f>O158*J158</f>
        <v/>
      </c>
      <c r="Q158" s="14">
        <f>N158-P158</f>
        <v/>
      </c>
      <c r="R158" s="16">
        <f>Q158/N158</f>
        <v/>
      </c>
    </row>
    <row r="159">
      <c r="A159" s="17" t="inlineStr">
        <is>
          <t>TRX-2025-0158</t>
        </is>
      </c>
      <c r="B159" s="18" t="inlineStr">
        <is>
          <t>2026-06-18</t>
        </is>
      </c>
      <c r="C159" s="17" t="inlineStr">
        <is>
          <t>E-commerce</t>
        </is>
      </c>
      <c r="D159" s="17" t="inlineStr">
        <is>
          <t>Estero (EU)</t>
        </is>
      </c>
      <c r="E159" s="17" t="inlineStr">
        <is>
          <t>Marco Rossi</t>
        </is>
      </c>
      <c r="F159" s="17" t="inlineStr">
        <is>
          <t>PMI</t>
        </is>
      </c>
      <c r="G159" s="17" t="inlineStr">
        <is>
          <t>Cloud &amp; Software</t>
        </is>
      </c>
      <c r="H159" s="17" t="inlineStr">
        <is>
          <t>AI-AGENT-MODULE</t>
        </is>
      </c>
      <c r="I159" s="19" t="n">
        <v>750</v>
      </c>
      <c r="J159" s="20" t="n">
        <v>3</v>
      </c>
      <c r="K159" s="21" t="n">
        <v>0</v>
      </c>
      <c r="L159" s="19">
        <f>I159*J159</f>
        <v/>
      </c>
      <c r="M159" s="19">
        <f>L159*K159</f>
        <v/>
      </c>
      <c r="N159" s="19">
        <f>L159-M159</f>
        <v/>
      </c>
      <c r="O159" s="19" t="n">
        <v>180</v>
      </c>
      <c r="P159" s="19">
        <f>O159*J159</f>
        <v/>
      </c>
      <c r="Q159" s="19">
        <f>N159-P159</f>
        <v/>
      </c>
      <c r="R159" s="21">
        <f>Q159/N159</f>
        <v/>
      </c>
    </row>
    <row r="160">
      <c r="A160" s="9" t="inlineStr">
        <is>
          <t>TRX-2025-0159</t>
        </is>
      </c>
      <c r="B160" s="13" t="inlineStr">
        <is>
          <t>2025-07-03</t>
        </is>
      </c>
      <c r="C160" s="9" t="inlineStr">
        <is>
          <t>E-commerce</t>
        </is>
      </c>
      <c r="D160" s="9" t="inlineStr">
        <is>
          <t>Nord-Ovest</t>
        </is>
      </c>
      <c r="E160" s="9" t="inlineStr">
        <is>
          <t>Elena Conti</t>
        </is>
      </c>
      <c r="F160" s="9" t="inlineStr">
        <is>
          <t>PMI</t>
        </is>
      </c>
      <c r="G160" s="9" t="inlineStr">
        <is>
          <t>Hardware &amp; IoT</t>
        </is>
      </c>
      <c r="H160" s="9" t="inlineStr">
        <is>
          <t>GATEWAY-EDGE-PRO</t>
        </is>
      </c>
      <c r="I160" s="14" t="n">
        <v>890</v>
      </c>
      <c r="J160" s="15" t="n">
        <v>15</v>
      </c>
      <c r="K160" s="16" t="n">
        <v>0.05</v>
      </c>
      <c r="L160" s="14">
        <f>I160*J160</f>
        <v/>
      </c>
      <c r="M160" s="14">
        <f>L160*K160</f>
        <v/>
      </c>
      <c r="N160" s="14">
        <f>L160-M160</f>
        <v/>
      </c>
      <c r="O160" s="14" t="n">
        <v>520</v>
      </c>
      <c r="P160" s="14">
        <f>O160*J160</f>
        <v/>
      </c>
      <c r="Q160" s="14">
        <f>N160-P160</f>
        <v/>
      </c>
      <c r="R160" s="16">
        <f>Q160/N160</f>
        <v/>
      </c>
    </row>
    <row r="161">
      <c r="A161" s="17" t="inlineStr">
        <is>
          <t>TRX-2026-0160</t>
        </is>
      </c>
      <c r="B161" s="18" t="inlineStr">
        <is>
          <t>2025-09-11</t>
        </is>
      </c>
      <c r="C161" s="17" t="inlineStr">
        <is>
          <t>E-commerce</t>
        </is>
      </c>
      <c r="D161" s="17" t="inlineStr">
        <is>
          <t>Centro</t>
        </is>
      </c>
      <c r="E161" s="17" t="inlineStr">
        <is>
          <t>Elena Conti</t>
        </is>
      </c>
      <c r="F161" s="17" t="inlineStr">
        <is>
          <t>Pubblica Amministrazione</t>
        </is>
      </c>
      <c r="G161" s="17" t="inlineStr">
        <is>
          <t>Hardware &amp; IoT</t>
        </is>
      </c>
      <c r="H161" s="17" t="inlineStr">
        <is>
          <t>GATEWAY-EDGE-PRO</t>
        </is>
      </c>
      <c r="I161" s="19" t="n">
        <v>890</v>
      </c>
      <c r="J161" s="20" t="n">
        <v>2</v>
      </c>
      <c r="K161" s="21" t="n">
        <v>0.15</v>
      </c>
      <c r="L161" s="19">
        <f>I161*J161</f>
        <v/>
      </c>
      <c r="M161" s="19">
        <f>L161*K161</f>
        <v/>
      </c>
      <c r="N161" s="19">
        <f>L161-M161</f>
        <v/>
      </c>
      <c r="O161" s="19" t="n">
        <v>520</v>
      </c>
      <c r="P161" s="19">
        <f>O161*J161</f>
        <v/>
      </c>
      <c r="Q161" s="19">
        <f>N161-P161</f>
        <v/>
      </c>
      <c r="R161" s="21">
        <f>Q161/N161</f>
        <v/>
      </c>
    </row>
    <row r="162">
      <c r="A162" s="9" t="inlineStr">
        <is>
          <t>TRX-2026-0161</t>
        </is>
      </c>
      <c r="B162" s="13" t="inlineStr">
        <is>
          <t>2026-05-02</t>
        </is>
      </c>
      <c r="C162" s="9" t="inlineStr">
        <is>
          <t>E-commerce</t>
        </is>
      </c>
      <c r="D162" s="9" t="inlineStr">
        <is>
          <t>Sud &amp; Isole</t>
        </is>
      </c>
      <c r="E162" s="9" t="inlineStr">
        <is>
          <t>Roberto Moretti</t>
        </is>
      </c>
      <c r="F162" s="9" t="inlineStr">
        <is>
          <t>PMI</t>
        </is>
      </c>
      <c r="G162" s="9" t="inlineStr">
        <is>
          <t>Cloud &amp; Software</t>
        </is>
      </c>
      <c r="H162" s="9" t="inlineStr">
        <is>
          <t>AI-AGENT-MODULE</t>
        </is>
      </c>
      <c r="I162" s="14" t="n">
        <v>750</v>
      </c>
      <c r="J162" s="15" t="n">
        <v>8</v>
      </c>
      <c r="K162" s="16" t="n">
        <v>0.1</v>
      </c>
      <c r="L162" s="14">
        <f>I162*J162</f>
        <v/>
      </c>
      <c r="M162" s="14">
        <f>L162*K162</f>
        <v/>
      </c>
      <c r="N162" s="14">
        <f>L162-M162</f>
        <v/>
      </c>
      <c r="O162" s="14" t="n">
        <v>180</v>
      </c>
      <c r="P162" s="14">
        <f>O162*J162</f>
        <v/>
      </c>
      <c r="Q162" s="14">
        <f>N162-P162</f>
        <v/>
      </c>
      <c r="R162" s="16">
        <f>Q162/N162</f>
        <v/>
      </c>
    </row>
    <row r="163">
      <c r="A163" s="17" t="inlineStr">
        <is>
          <t>TRX-2025-0162</t>
        </is>
      </c>
      <c r="B163" s="18" t="inlineStr">
        <is>
          <t>2025-09-28</t>
        </is>
      </c>
      <c r="C163" s="17" t="inlineStr">
        <is>
          <t>B2B Diretto</t>
        </is>
      </c>
      <c r="D163" s="17" t="inlineStr">
        <is>
          <t>Sud &amp; Isole</t>
        </is>
      </c>
      <c r="E163" s="17" t="inlineStr">
        <is>
          <t>Alessandro Riva</t>
        </is>
      </c>
      <c r="F163" s="17" t="inlineStr">
        <is>
          <t>PMI</t>
        </is>
      </c>
      <c r="G163" s="17" t="inlineStr">
        <is>
          <t>Cloud &amp; Software</t>
        </is>
      </c>
      <c r="H163" s="17" t="inlineStr">
        <is>
          <t>SaaS-CORE-SMB</t>
        </is>
      </c>
      <c r="I163" s="19" t="n">
        <v>450</v>
      </c>
      <c r="J163" s="20" t="n">
        <v>5</v>
      </c>
      <c r="K163" s="21" t="n">
        <v>0.05</v>
      </c>
      <c r="L163" s="19">
        <f>I163*J163</f>
        <v/>
      </c>
      <c r="M163" s="19">
        <f>L163*K163</f>
        <v/>
      </c>
      <c r="N163" s="19">
        <f>L163-M163</f>
        <v/>
      </c>
      <c r="O163" s="19" t="n">
        <v>110</v>
      </c>
      <c r="P163" s="19">
        <f>O163*J163</f>
        <v/>
      </c>
      <c r="Q163" s="19">
        <f>N163-P163</f>
        <v/>
      </c>
      <c r="R163" s="21">
        <f>Q163/N163</f>
        <v/>
      </c>
    </row>
    <row r="164">
      <c r="A164" s="9" t="inlineStr">
        <is>
          <t>TRX-2025-0163</t>
        </is>
      </c>
      <c r="B164" s="13" t="inlineStr">
        <is>
          <t>2025-11-02</t>
        </is>
      </c>
      <c r="C164" s="9" t="inlineStr">
        <is>
          <t>B2B Diretto</t>
        </is>
      </c>
      <c r="D164" s="9" t="inlineStr">
        <is>
          <t>Nord-Est</t>
        </is>
      </c>
      <c r="E164" s="9" t="inlineStr">
        <is>
          <t>Alessandro Riva</t>
        </is>
      </c>
      <c r="F164" s="9" t="inlineStr">
        <is>
          <t>PMI</t>
        </is>
      </c>
      <c r="G164" s="9" t="inlineStr">
        <is>
          <t>Consulenza &amp; Setup</t>
        </is>
      </c>
      <c r="H164" s="9" t="inlineStr">
        <is>
          <t>SECURITY-AUDIT</t>
        </is>
      </c>
      <c r="I164" s="14" t="n">
        <v>2200</v>
      </c>
      <c r="J164" s="15" t="n">
        <v>1</v>
      </c>
      <c r="K164" s="16" t="n">
        <v>0.05</v>
      </c>
      <c r="L164" s="14">
        <f>I164*J164</f>
        <v/>
      </c>
      <c r="M164" s="14">
        <f>L164*K164</f>
        <v/>
      </c>
      <c r="N164" s="14">
        <f>L164-M164</f>
        <v/>
      </c>
      <c r="O164" s="14" t="n">
        <v>950</v>
      </c>
      <c r="P164" s="14">
        <f>O164*J164</f>
        <v/>
      </c>
      <c r="Q164" s="14">
        <f>N164-P164</f>
        <v/>
      </c>
      <c r="R164" s="16">
        <f>Q164/N164</f>
        <v/>
      </c>
    </row>
    <row r="165">
      <c r="A165" s="17" t="inlineStr">
        <is>
          <t>TRX-2025-0164</t>
        </is>
      </c>
      <c r="B165" s="18" t="inlineStr">
        <is>
          <t>2026-04-21</t>
        </is>
      </c>
      <c r="C165" s="17" t="inlineStr">
        <is>
          <t>Partner / Retailer</t>
        </is>
      </c>
      <c r="D165" s="17" t="inlineStr">
        <is>
          <t>Nord-Ovest</t>
        </is>
      </c>
      <c r="E165" s="17" t="inlineStr">
        <is>
          <t>Elena Conti</t>
        </is>
      </c>
      <c r="F165" s="17" t="inlineStr">
        <is>
          <t>Enterprise</t>
        </is>
      </c>
      <c r="G165" s="17" t="inlineStr">
        <is>
          <t>Consulenza &amp; Setup</t>
        </is>
      </c>
      <c r="H165" s="17" t="inlineStr">
        <is>
          <t>SECURITY-AUDIT</t>
        </is>
      </c>
      <c r="I165" s="19" t="n">
        <v>2200</v>
      </c>
      <c r="J165" s="20" t="n">
        <v>2</v>
      </c>
      <c r="K165" s="21" t="n">
        <v>0</v>
      </c>
      <c r="L165" s="19">
        <f>I165*J165</f>
        <v/>
      </c>
      <c r="M165" s="19">
        <f>L165*K165</f>
        <v/>
      </c>
      <c r="N165" s="19">
        <f>L165-M165</f>
        <v/>
      </c>
      <c r="O165" s="19" t="n">
        <v>950</v>
      </c>
      <c r="P165" s="19">
        <f>O165*J165</f>
        <v/>
      </c>
      <c r="Q165" s="19">
        <f>N165-P165</f>
        <v/>
      </c>
      <c r="R165" s="21">
        <f>Q165/N165</f>
        <v/>
      </c>
    </row>
    <row r="166">
      <c r="A166" s="9" t="inlineStr">
        <is>
          <t>TRX-2025-0165</t>
        </is>
      </c>
      <c r="B166" s="13" t="inlineStr">
        <is>
          <t>2026-02-02</t>
        </is>
      </c>
      <c r="C166" s="9" t="inlineStr">
        <is>
          <t>B2B Diretto</t>
        </is>
      </c>
      <c r="D166" s="9" t="inlineStr">
        <is>
          <t>Centro</t>
        </is>
      </c>
      <c r="E166" s="9" t="inlineStr">
        <is>
          <t>Marco Rossi</t>
        </is>
      </c>
      <c r="F166" s="9" t="inlineStr">
        <is>
          <t>Professionisti / SOHO</t>
        </is>
      </c>
      <c r="G166" s="9" t="inlineStr">
        <is>
          <t>Hardware &amp; IoT</t>
        </is>
      </c>
      <c r="H166" s="9" t="inlineStr">
        <is>
          <t>TERMINAL-SMART-V2</t>
        </is>
      </c>
      <c r="I166" s="14" t="n">
        <v>640</v>
      </c>
      <c r="J166" s="15" t="n">
        <v>8</v>
      </c>
      <c r="K166" s="16" t="n">
        <v>0</v>
      </c>
      <c r="L166" s="14">
        <f>I166*J166</f>
        <v/>
      </c>
      <c r="M166" s="14">
        <f>L166*K166</f>
        <v/>
      </c>
      <c r="N166" s="14">
        <f>L166-M166</f>
        <v/>
      </c>
      <c r="O166" s="14" t="n">
        <v>380</v>
      </c>
      <c r="P166" s="14">
        <f>O166*J166</f>
        <v/>
      </c>
      <c r="Q166" s="14">
        <f>N166-P166</f>
        <v/>
      </c>
      <c r="R166" s="16">
        <f>Q166/N166</f>
        <v/>
      </c>
    </row>
    <row r="167">
      <c r="A167" s="17" t="inlineStr">
        <is>
          <t>TRX-2026-0166</t>
        </is>
      </c>
      <c r="B167" s="18" t="inlineStr">
        <is>
          <t>2026-05-13</t>
        </is>
      </c>
      <c r="C167" s="17" t="inlineStr">
        <is>
          <t>E-commerce</t>
        </is>
      </c>
      <c r="D167" s="17" t="inlineStr">
        <is>
          <t>Nord-Est</t>
        </is>
      </c>
      <c r="E167" s="17" t="inlineStr">
        <is>
          <t>Elena Conti</t>
        </is>
      </c>
      <c r="F167" s="17" t="inlineStr">
        <is>
          <t>PMI</t>
        </is>
      </c>
      <c r="G167" s="17" t="inlineStr">
        <is>
          <t>Cloud &amp; Software</t>
        </is>
      </c>
      <c r="H167" s="17" t="inlineStr">
        <is>
          <t>SaaS-PLATFORM-ENT</t>
        </is>
      </c>
      <c r="I167" s="19" t="n">
        <v>1200</v>
      </c>
      <c r="J167" s="20" t="n">
        <v>10</v>
      </c>
      <c r="K167" s="21" t="n">
        <v>0</v>
      </c>
      <c r="L167" s="19">
        <f>I167*J167</f>
        <v/>
      </c>
      <c r="M167" s="19">
        <f>L167*K167</f>
        <v/>
      </c>
      <c r="N167" s="19">
        <f>L167-M167</f>
        <v/>
      </c>
      <c r="O167" s="19" t="n">
        <v>320</v>
      </c>
      <c r="P167" s="19">
        <f>O167*J167</f>
        <v/>
      </c>
      <c r="Q167" s="19">
        <f>N167-P167</f>
        <v/>
      </c>
      <c r="R167" s="21">
        <f>Q167/N167</f>
        <v/>
      </c>
    </row>
    <row r="168">
      <c r="A168" s="9" t="inlineStr">
        <is>
          <t>TRX-2025-0167</t>
        </is>
      </c>
      <c r="B168" s="13" t="inlineStr">
        <is>
          <t>2025-06-17</t>
        </is>
      </c>
      <c r="C168" s="9" t="inlineStr">
        <is>
          <t>E-commerce</t>
        </is>
      </c>
      <c r="D168" s="9" t="inlineStr">
        <is>
          <t>Estero (EU)</t>
        </is>
      </c>
      <c r="E168" s="9" t="inlineStr">
        <is>
          <t>Roberto Moretti</t>
        </is>
      </c>
      <c r="F168" s="9" t="inlineStr">
        <is>
          <t>PMI</t>
        </is>
      </c>
      <c r="G168" s="9" t="inlineStr">
        <is>
          <t>Hardware &amp; IoT</t>
        </is>
      </c>
      <c r="H168" s="9" t="inlineStr">
        <is>
          <t>SENSOR-IOT-PACK</t>
        </is>
      </c>
      <c r="I168" s="14" t="n">
        <v>290</v>
      </c>
      <c r="J168" s="15" t="n">
        <v>1</v>
      </c>
      <c r="K168" s="16" t="n">
        <v>0</v>
      </c>
      <c r="L168" s="14">
        <f>I168*J168</f>
        <v/>
      </c>
      <c r="M168" s="14">
        <f>L168*K168</f>
        <v/>
      </c>
      <c r="N168" s="14">
        <f>L168-M168</f>
        <v/>
      </c>
      <c r="O168" s="14" t="n">
        <v>140</v>
      </c>
      <c r="P168" s="14">
        <f>O168*J168</f>
        <v/>
      </c>
      <c r="Q168" s="14">
        <f>N168-P168</f>
        <v/>
      </c>
      <c r="R168" s="16">
        <f>Q168/N168</f>
        <v/>
      </c>
    </row>
    <row r="169">
      <c r="A169" s="17" t="inlineStr">
        <is>
          <t>TRX-2025-0168</t>
        </is>
      </c>
      <c r="B169" s="18" t="inlineStr">
        <is>
          <t>2026-03-20</t>
        </is>
      </c>
      <c r="C169" s="17" t="inlineStr">
        <is>
          <t>E-commerce</t>
        </is>
      </c>
      <c r="D169" s="17" t="inlineStr">
        <is>
          <t>Estero (EU)</t>
        </is>
      </c>
      <c r="E169" s="17" t="inlineStr">
        <is>
          <t>Elena Conti</t>
        </is>
      </c>
      <c r="F169" s="17" t="inlineStr">
        <is>
          <t>Enterprise</t>
        </is>
      </c>
      <c r="G169" s="17" t="inlineStr">
        <is>
          <t>Consulenza &amp; Setup</t>
        </is>
      </c>
      <c r="H169" s="17" t="inlineStr">
        <is>
          <t>TRAINING-ONBOARDING</t>
        </is>
      </c>
      <c r="I169" s="19" t="n">
        <v>800</v>
      </c>
      <c r="J169" s="20" t="n">
        <v>3</v>
      </c>
      <c r="K169" s="21" t="n">
        <v>0</v>
      </c>
      <c r="L169" s="19">
        <f>I169*J169</f>
        <v/>
      </c>
      <c r="M169" s="19">
        <f>L169*K169</f>
        <v/>
      </c>
      <c r="N169" s="19">
        <f>L169-M169</f>
        <v/>
      </c>
      <c r="O169" s="19" t="n">
        <v>350</v>
      </c>
      <c r="P169" s="19">
        <f>O169*J169</f>
        <v/>
      </c>
      <c r="Q169" s="19">
        <f>N169-P169</f>
        <v/>
      </c>
      <c r="R169" s="21">
        <f>Q169/N169</f>
        <v/>
      </c>
    </row>
    <row r="170">
      <c r="A170" s="9" t="inlineStr">
        <is>
          <t>TRX-2025-0169</t>
        </is>
      </c>
      <c r="B170" s="13" t="inlineStr">
        <is>
          <t>2025-06-11</t>
        </is>
      </c>
      <c r="C170" s="9" t="inlineStr">
        <is>
          <t>B2B Diretto</t>
        </is>
      </c>
      <c r="D170" s="9" t="inlineStr">
        <is>
          <t>Nord-Ovest</t>
        </is>
      </c>
      <c r="E170" s="9" t="inlineStr">
        <is>
          <t>Roberto Moretti</t>
        </is>
      </c>
      <c r="F170" s="9" t="inlineStr">
        <is>
          <t>PMI</t>
        </is>
      </c>
      <c r="G170" s="9" t="inlineStr">
        <is>
          <t>Consulenza &amp; Setup</t>
        </is>
      </c>
      <c r="H170" s="9" t="inlineStr">
        <is>
          <t>SETUP-INTEGRATION</t>
        </is>
      </c>
      <c r="I170" s="14" t="n">
        <v>1500</v>
      </c>
      <c r="J170" s="15" t="n">
        <v>1</v>
      </c>
      <c r="K170" s="16" t="n">
        <v>0.1</v>
      </c>
      <c r="L170" s="14">
        <f>I170*J170</f>
        <v/>
      </c>
      <c r="M170" s="14">
        <f>L170*K170</f>
        <v/>
      </c>
      <c r="N170" s="14">
        <f>L170-M170</f>
        <v/>
      </c>
      <c r="O170" s="14" t="n">
        <v>650</v>
      </c>
      <c r="P170" s="14">
        <f>O170*J170</f>
        <v/>
      </c>
      <c r="Q170" s="14">
        <f>N170-P170</f>
        <v/>
      </c>
      <c r="R170" s="16">
        <f>Q170/N170</f>
        <v/>
      </c>
    </row>
    <row r="171">
      <c r="A171" s="17" t="inlineStr">
        <is>
          <t>TRX-2026-0170</t>
        </is>
      </c>
      <c r="B171" s="18" t="inlineStr">
        <is>
          <t>2025-03-25</t>
        </is>
      </c>
      <c r="C171" s="17" t="inlineStr">
        <is>
          <t>Partner / Retailer</t>
        </is>
      </c>
      <c r="D171" s="17" t="inlineStr">
        <is>
          <t>Estero (EU)</t>
        </is>
      </c>
      <c r="E171" s="17" t="inlineStr">
        <is>
          <t>Roberto Moretti</t>
        </is>
      </c>
      <c r="F171" s="17" t="inlineStr">
        <is>
          <t>Professionisti / SOHO</t>
        </is>
      </c>
      <c r="G171" s="17" t="inlineStr">
        <is>
          <t>Consulenza &amp; Setup</t>
        </is>
      </c>
      <c r="H171" s="17" t="inlineStr">
        <is>
          <t>SECURITY-AUDIT</t>
        </is>
      </c>
      <c r="I171" s="19" t="n">
        <v>2200</v>
      </c>
      <c r="J171" s="20" t="n">
        <v>3</v>
      </c>
      <c r="K171" s="21" t="n">
        <v>0</v>
      </c>
      <c r="L171" s="19">
        <f>I171*J171</f>
        <v/>
      </c>
      <c r="M171" s="19">
        <f>L171*K171</f>
        <v/>
      </c>
      <c r="N171" s="19">
        <f>L171-M171</f>
        <v/>
      </c>
      <c r="O171" s="19" t="n">
        <v>950</v>
      </c>
      <c r="P171" s="19">
        <f>O171*J171</f>
        <v/>
      </c>
      <c r="Q171" s="19">
        <f>N171-P171</f>
        <v/>
      </c>
      <c r="R171" s="21">
        <f>Q171/N171</f>
        <v/>
      </c>
    </row>
    <row r="172">
      <c r="A172" s="9" t="inlineStr">
        <is>
          <t>TRX-2026-0171</t>
        </is>
      </c>
      <c r="B172" s="13" t="inlineStr">
        <is>
          <t>2025-02-28</t>
        </is>
      </c>
      <c r="C172" s="9" t="inlineStr">
        <is>
          <t>E-commerce</t>
        </is>
      </c>
      <c r="D172" s="9" t="inlineStr">
        <is>
          <t>Centro</t>
        </is>
      </c>
      <c r="E172" s="9" t="inlineStr">
        <is>
          <t>Alessandro Riva</t>
        </is>
      </c>
      <c r="F172" s="9" t="inlineStr">
        <is>
          <t>PMI</t>
        </is>
      </c>
      <c r="G172" s="9" t="inlineStr">
        <is>
          <t>Hardware &amp; IoT</t>
        </is>
      </c>
      <c r="H172" s="9" t="inlineStr">
        <is>
          <t>TERMINAL-SMART-V2</t>
        </is>
      </c>
      <c r="I172" s="14" t="n">
        <v>640</v>
      </c>
      <c r="J172" s="15" t="n">
        <v>8</v>
      </c>
      <c r="K172" s="16" t="n">
        <v>0</v>
      </c>
      <c r="L172" s="14">
        <f>I172*J172</f>
        <v/>
      </c>
      <c r="M172" s="14">
        <f>L172*K172</f>
        <v/>
      </c>
      <c r="N172" s="14">
        <f>L172-M172</f>
        <v/>
      </c>
      <c r="O172" s="14" t="n">
        <v>380</v>
      </c>
      <c r="P172" s="14">
        <f>O172*J172</f>
        <v/>
      </c>
      <c r="Q172" s="14">
        <f>N172-P172</f>
        <v/>
      </c>
      <c r="R172" s="16">
        <f>Q172/N172</f>
        <v/>
      </c>
    </row>
    <row r="173">
      <c r="A173" s="17" t="inlineStr">
        <is>
          <t>TRX-2025-0172</t>
        </is>
      </c>
      <c r="B173" s="18" t="inlineStr">
        <is>
          <t>2025-12-21</t>
        </is>
      </c>
      <c r="C173" s="17" t="inlineStr">
        <is>
          <t>B2B Diretto</t>
        </is>
      </c>
      <c r="D173" s="17" t="inlineStr">
        <is>
          <t>Centro</t>
        </is>
      </c>
      <c r="E173" s="17" t="inlineStr">
        <is>
          <t>Roberto Moretti</t>
        </is>
      </c>
      <c r="F173" s="17" t="inlineStr">
        <is>
          <t>Enterprise</t>
        </is>
      </c>
      <c r="G173" s="17" t="inlineStr">
        <is>
          <t>Cloud &amp; Software</t>
        </is>
      </c>
      <c r="H173" s="17" t="inlineStr">
        <is>
          <t>AI-AGENT-MODULE</t>
        </is>
      </c>
      <c r="I173" s="19" t="n">
        <v>750</v>
      </c>
      <c r="J173" s="20" t="n">
        <v>8</v>
      </c>
      <c r="K173" s="21" t="n">
        <v>0.1</v>
      </c>
      <c r="L173" s="19">
        <f>I173*J173</f>
        <v/>
      </c>
      <c r="M173" s="19">
        <f>L173*K173</f>
        <v/>
      </c>
      <c r="N173" s="19">
        <f>L173-M173</f>
        <v/>
      </c>
      <c r="O173" s="19" t="n">
        <v>180</v>
      </c>
      <c r="P173" s="19">
        <f>O173*J173</f>
        <v/>
      </c>
      <c r="Q173" s="19">
        <f>N173-P173</f>
        <v/>
      </c>
      <c r="R173" s="21">
        <f>Q173/N173</f>
        <v/>
      </c>
    </row>
    <row r="174">
      <c r="A174" s="9" t="inlineStr">
        <is>
          <t>TRX-2026-0173</t>
        </is>
      </c>
      <c r="B174" s="13" t="inlineStr">
        <is>
          <t>2025-07-20</t>
        </is>
      </c>
      <c r="C174" s="9" t="inlineStr">
        <is>
          <t>Partner / Retailer</t>
        </is>
      </c>
      <c r="D174" s="9" t="inlineStr">
        <is>
          <t>Nord-Ovest</t>
        </is>
      </c>
      <c r="E174" s="9" t="inlineStr">
        <is>
          <t>Elena Conti</t>
        </is>
      </c>
      <c r="F174" s="9" t="inlineStr">
        <is>
          <t>Enterprise</t>
        </is>
      </c>
      <c r="G174" s="9" t="inlineStr">
        <is>
          <t>Hardware &amp; IoT</t>
        </is>
      </c>
      <c r="H174" s="9" t="inlineStr">
        <is>
          <t>GATEWAY-EDGE-PRO</t>
        </is>
      </c>
      <c r="I174" s="14" t="n">
        <v>890</v>
      </c>
      <c r="J174" s="15" t="n">
        <v>1</v>
      </c>
      <c r="K174" s="16" t="n">
        <v>0</v>
      </c>
      <c r="L174" s="14">
        <f>I174*J174</f>
        <v/>
      </c>
      <c r="M174" s="14">
        <f>L174*K174</f>
        <v/>
      </c>
      <c r="N174" s="14">
        <f>L174-M174</f>
        <v/>
      </c>
      <c r="O174" s="14" t="n">
        <v>520</v>
      </c>
      <c r="P174" s="14">
        <f>O174*J174</f>
        <v/>
      </c>
      <c r="Q174" s="14">
        <f>N174-P174</f>
        <v/>
      </c>
      <c r="R174" s="16">
        <f>Q174/N174</f>
        <v/>
      </c>
    </row>
    <row r="175">
      <c r="A175" s="17" t="inlineStr">
        <is>
          <t>TRX-2025-0174</t>
        </is>
      </c>
      <c r="B175" s="18" t="inlineStr">
        <is>
          <t>2025-12-04</t>
        </is>
      </c>
      <c r="C175" s="17" t="inlineStr">
        <is>
          <t>Partner / Retailer</t>
        </is>
      </c>
      <c r="D175" s="17" t="inlineStr">
        <is>
          <t>Estero (EU)</t>
        </is>
      </c>
      <c r="E175" s="17" t="inlineStr">
        <is>
          <t>Elena Conti</t>
        </is>
      </c>
      <c r="F175" s="17" t="inlineStr">
        <is>
          <t>Pubblica Amministrazione</t>
        </is>
      </c>
      <c r="G175" s="17" t="inlineStr">
        <is>
          <t>Consulenza &amp; Setup</t>
        </is>
      </c>
      <c r="H175" s="17" t="inlineStr">
        <is>
          <t>SECURITY-AUDIT</t>
        </is>
      </c>
      <c r="I175" s="19" t="n">
        <v>2200</v>
      </c>
      <c r="J175" s="20" t="n">
        <v>3</v>
      </c>
      <c r="K175" s="21" t="n">
        <v>0</v>
      </c>
      <c r="L175" s="19">
        <f>I175*J175</f>
        <v/>
      </c>
      <c r="M175" s="19">
        <f>L175*K175</f>
        <v/>
      </c>
      <c r="N175" s="19">
        <f>L175-M175</f>
        <v/>
      </c>
      <c r="O175" s="19" t="n">
        <v>950</v>
      </c>
      <c r="P175" s="19">
        <f>O175*J175</f>
        <v/>
      </c>
      <c r="Q175" s="19">
        <f>N175-P175</f>
        <v/>
      </c>
      <c r="R175" s="21">
        <f>Q175/N175</f>
        <v/>
      </c>
    </row>
    <row r="176">
      <c r="A176" s="9" t="inlineStr">
        <is>
          <t>TRX-2025-0175</t>
        </is>
      </c>
      <c r="B176" s="13" t="inlineStr">
        <is>
          <t>2025-11-03</t>
        </is>
      </c>
      <c r="C176" s="9" t="inlineStr">
        <is>
          <t>B2B Diretto</t>
        </is>
      </c>
      <c r="D176" s="9" t="inlineStr">
        <is>
          <t>Nord-Ovest</t>
        </is>
      </c>
      <c r="E176" s="9" t="inlineStr">
        <is>
          <t>Alessandro Riva</t>
        </is>
      </c>
      <c r="F176" s="9" t="inlineStr">
        <is>
          <t>Enterprise</t>
        </is>
      </c>
      <c r="G176" s="9" t="inlineStr">
        <is>
          <t>Hardware &amp; IoT</t>
        </is>
      </c>
      <c r="H176" s="9" t="inlineStr">
        <is>
          <t>TERMINAL-SMART-V2</t>
        </is>
      </c>
      <c r="I176" s="14" t="n">
        <v>640</v>
      </c>
      <c r="J176" s="15" t="n">
        <v>2</v>
      </c>
      <c r="K176" s="16" t="n">
        <v>0.05</v>
      </c>
      <c r="L176" s="14">
        <f>I176*J176</f>
        <v/>
      </c>
      <c r="M176" s="14">
        <f>L176*K176</f>
        <v/>
      </c>
      <c r="N176" s="14">
        <f>L176-M176</f>
        <v/>
      </c>
      <c r="O176" s="14" t="n">
        <v>380</v>
      </c>
      <c r="P176" s="14">
        <f>O176*J176</f>
        <v/>
      </c>
      <c r="Q176" s="14">
        <f>N176-P176</f>
        <v/>
      </c>
      <c r="R176" s="16">
        <f>Q176/N176</f>
        <v/>
      </c>
    </row>
    <row r="177">
      <c r="A177" s="17" t="inlineStr">
        <is>
          <t>TRX-2026-0176</t>
        </is>
      </c>
      <c r="B177" s="18" t="inlineStr">
        <is>
          <t>2026-02-14</t>
        </is>
      </c>
      <c r="C177" s="17" t="inlineStr">
        <is>
          <t>B2B Diretto</t>
        </is>
      </c>
      <c r="D177" s="17" t="inlineStr">
        <is>
          <t>Nord-Est</t>
        </is>
      </c>
      <c r="E177" s="17" t="inlineStr">
        <is>
          <t>Elena Conti</t>
        </is>
      </c>
      <c r="F177" s="17" t="inlineStr">
        <is>
          <t>PMI</t>
        </is>
      </c>
      <c r="G177" s="17" t="inlineStr">
        <is>
          <t>Hardware &amp; IoT</t>
        </is>
      </c>
      <c r="H177" s="17" t="inlineStr">
        <is>
          <t>TERMINAL-SMART-V2</t>
        </is>
      </c>
      <c r="I177" s="19" t="n">
        <v>640</v>
      </c>
      <c r="J177" s="20" t="n">
        <v>10</v>
      </c>
      <c r="K177" s="21" t="n">
        <v>0.05</v>
      </c>
      <c r="L177" s="19">
        <f>I177*J177</f>
        <v/>
      </c>
      <c r="M177" s="19">
        <f>L177*K177</f>
        <v/>
      </c>
      <c r="N177" s="19">
        <f>L177-M177</f>
        <v/>
      </c>
      <c r="O177" s="19" t="n">
        <v>380</v>
      </c>
      <c r="P177" s="19">
        <f>O177*J177</f>
        <v/>
      </c>
      <c r="Q177" s="19">
        <f>N177-P177</f>
        <v/>
      </c>
      <c r="R177" s="21">
        <f>Q177/N177</f>
        <v/>
      </c>
    </row>
    <row r="178">
      <c r="A178" s="9" t="inlineStr">
        <is>
          <t>TRX-2025-0177</t>
        </is>
      </c>
      <c r="B178" s="13" t="inlineStr">
        <is>
          <t>2026-03-25</t>
        </is>
      </c>
      <c r="C178" s="9" t="inlineStr">
        <is>
          <t>B2B Diretto</t>
        </is>
      </c>
      <c r="D178" s="9" t="inlineStr">
        <is>
          <t>Estero (EU)</t>
        </is>
      </c>
      <c r="E178" s="9" t="inlineStr">
        <is>
          <t>Giulia Bianchi</t>
        </is>
      </c>
      <c r="F178" s="9" t="inlineStr">
        <is>
          <t>PMI</t>
        </is>
      </c>
      <c r="G178" s="9" t="inlineStr">
        <is>
          <t>Hardware &amp; IoT</t>
        </is>
      </c>
      <c r="H178" s="9" t="inlineStr">
        <is>
          <t>TERMINAL-SMART-V2</t>
        </is>
      </c>
      <c r="I178" s="14" t="n">
        <v>640</v>
      </c>
      <c r="J178" s="15" t="n">
        <v>1</v>
      </c>
      <c r="K178" s="16" t="n">
        <v>0</v>
      </c>
      <c r="L178" s="14">
        <f>I178*J178</f>
        <v/>
      </c>
      <c r="M178" s="14">
        <f>L178*K178</f>
        <v/>
      </c>
      <c r="N178" s="14">
        <f>L178-M178</f>
        <v/>
      </c>
      <c r="O178" s="14" t="n">
        <v>380</v>
      </c>
      <c r="P178" s="14">
        <f>O178*J178</f>
        <v/>
      </c>
      <c r="Q178" s="14">
        <f>N178-P178</f>
        <v/>
      </c>
      <c r="R178" s="16">
        <f>Q178/N178</f>
        <v/>
      </c>
    </row>
    <row r="179">
      <c r="A179" s="17" t="inlineStr">
        <is>
          <t>TRX-2026-0178</t>
        </is>
      </c>
      <c r="B179" s="18" t="inlineStr">
        <is>
          <t>2025-11-24</t>
        </is>
      </c>
      <c r="C179" s="17" t="inlineStr">
        <is>
          <t>B2B Diretto</t>
        </is>
      </c>
      <c r="D179" s="17" t="inlineStr">
        <is>
          <t>Sud &amp; Isole</t>
        </is>
      </c>
      <c r="E179" s="17" t="inlineStr">
        <is>
          <t>Giulia Bianchi</t>
        </is>
      </c>
      <c r="F179" s="17" t="inlineStr">
        <is>
          <t>PMI</t>
        </is>
      </c>
      <c r="G179" s="17" t="inlineStr">
        <is>
          <t>Hardware &amp; IoT</t>
        </is>
      </c>
      <c r="H179" s="17" t="inlineStr">
        <is>
          <t>TERMINAL-SMART-V2</t>
        </is>
      </c>
      <c r="I179" s="19" t="n">
        <v>640</v>
      </c>
      <c r="J179" s="20" t="n">
        <v>2</v>
      </c>
      <c r="K179" s="21" t="n">
        <v>0.1</v>
      </c>
      <c r="L179" s="19">
        <f>I179*J179</f>
        <v/>
      </c>
      <c r="M179" s="19">
        <f>L179*K179</f>
        <v/>
      </c>
      <c r="N179" s="19">
        <f>L179-M179</f>
        <v/>
      </c>
      <c r="O179" s="19" t="n">
        <v>380</v>
      </c>
      <c r="P179" s="19">
        <f>O179*J179</f>
        <v/>
      </c>
      <c r="Q179" s="19">
        <f>N179-P179</f>
        <v/>
      </c>
      <c r="R179" s="21">
        <f>Q179/N179</f>
        <v/>
      </c>
    </row>
    <row r="180">
      <c r="A180" s="9" t="inlineStr">
        <is>
          <t>TRX-2026-0179</t>
        </is>
      </c>
      <c r="B180" s="13" t="inlineStr">
        <is>
          <t>2026-04-05</t>
        </is>
      </c>
      <c r="C180" s="9" t="inlineStr">
        <is>
          <t>B2B Diretto</t>
        </is>
      </c>
      <c r="D180" s="9" t="inlineStr">
        <is>
          <t>Nord-Ovest</t>
        </is>
      </c>
      <c r="E180" s="9" t="inlineStr">
        <is>
          <t>Marco Rossi</t>
        </is>
      </c>
      <c r="F180" s="9" t="inlineStr">
        <is>
          <t>PMI</t>
        </is>
      </c>
      <c r="G180" s="9" t="inlineStr">
        <is>
          <t>Consulenza &amp; Setup</t>
        </is>
      </c>
      <c r="H180" s="9" t="inlineStr">
        <is>
          <t>SETUP-INTEGRATION</t>
        </is>
      </c>
      <c r="I180" s="14" t="n">
        <v>1500</v>
      </c>
      <c r="J180" s="15" t="n">
        <v>2</v>
      </c>
      <c r="K180" s="16" t="n">
        <v>0.1</v>
      </c>
      <c r="L180" s="14">
        <f>I180*J180</f>
        <v/>
      </c>
      <c r="M180" s="14">
        <f>L180*K180</f>
        <v/>
      </c>
      <c r="N180" s="14">
        <f>L180-M180</f>
        <v/>
      </c>
      <c r="O180" s="14" t="n">
        <v>650</v>
      </c>
      <c r="P180" s="14">
        <f>O180*J180</f>
        <v/>
      </c>
      <c r="Q180" s="14">
        <f>N180-P180</f>
        <v/>
      </c>
      <c r="R180" s="16">
        <f>Q180/N180</f>
        <v/>
      </c>
    </row>
    <row r="181">
      <c r="A181" s="17" t="inlineStr">
        <is>
          <t>TRX-2025-0180</t>
        </is>
      </c>
      <c r="B181" s="18" t="inlineStr">
        <is>
          <t>2025-02-15</t>
        </is>
      </c>
      <c r="C181" s="17" t="inlineStr">
        <is>
          <t>B2B Diretto</t>
        </is>
      </c>
      <c r="D181" s="17" t="inlineStr">
        <is>
          <t>Estero (EU)</t>
        </is>
      </c>
      <c r="E181" s="17" t="inlineStr">
        <is>
          <t>Elena Conti</t>
        </is>
      </c>
      <c r="F181" s="17" t="inlineStr">
        <is>
          <t>Enterprise</t>
        </is>
      </c>
      <c r="G181" s="17" t="inlineStr">
        <is>
          <t>Cloud &amp; Software</t>
        </is>
      </c>
      <c r="H181" s="17" t="inlineStr">
        <is>
          <t>SaaS-CORE-SMB</t>
        </is>
      </c>
      <c r="I181" s="19" t="n">
        <v>450</v>
      </c>
      <c r="J181" s="20" t="n">
        <v>1</v>
      </c>
      <c r="K181" s="21" t="n">
        <v>0.05</v>
      </c>
      <c r="L181" s="19">
        <f>I181*J181</f>
        <v/>
      </c>
      <c r="M181" s="19">
        <f>L181*K181</f>
        <v/>
      </c>
      <c r="N181" s="19">
        <f>L181-M181</f>
        <v/>
      </c>
      <c r="O181" s="19" t="n">
        <v>110</v>
      </c>
      <c r="P181" s="19">
        <f>O181*J181</f>
        <v/>
      </c>
      <c r="Q181" s="19">
        <f>N181-P181</f>
        <v/>
      </c>
      <c r="R181" s="21">
        <f>Q181/N181</f>
        <v/>
      </c>
    </row>
    <row r="182">
      <c r="A182" s="9" t="inlineStr">
        <is>
          <t>TRX-2026-0181</t>
        </is>
      </c>
      <c r="B182" s="13" t="inlineStr">
        <is>
          <t>2026-02-11</t>
        </is>
      </c>
      <c r="C182" s="9" t="inlineStr">
        <is>
          <t>Partner / Retailer</t>
        </is>
      </c>
      <c r="D182" s="9" t="inlineStr">
        <is>
          <t>Nord-Ovest</t>
        </is>
      </c>
      <c r="E182" s="9" t="inlineStr">
        <is>
          <t>Roberto Moretti</t>
        </is>
      </c>
      <c r="F182" s="9" t="inlineStr">
        <is>
          <t>Enterprise</t>
        </is>
      </c>
      <c r="G182" s="9" t="inlineStr">
        <is>
          <t>Consulenza &amp; Setup</t>
        </is>
      </c>
      <c r="H182" s="9" t="inlineStr">
        <is>
          <t>TRAINING-ONBOARDING</t>
        </is>
      </c>
      <c r="I182" s="14" t="n">
        <v>800</v>
      </c>
      <c r="J182" s="15" t="n">
        <v>15</v>
      </c>
      <c r="K182" s="16" t="n">
        <v>0</v>
      </c>
      <c r="L182" s="14">
        <f>I182*J182</f>
        <v/>
      </c>
      <c r="M182" s="14">
        <f>L182*K182</f>
        <v/>
      </c>
      <c r="N182" s="14">
        <f>L182-M182</f>
        <v/>
      </c>
      <c r="O182" s="14" t="n">
        <v>350</v>
      </c>
      <c r="P182" s="14">
        <f>O182*J182</f>
        <v/>
      </c>
      <c r="Q182" s="14">
        <f>N182-P182</f>
        <v/>
      </c>
      <c r="R182" s="16">
        <f>Q182/N182</f>
        <v/>
      </c>
    </row>
    <row r="183">
      <c r="A183" s="17" t="inlineStr">
        <is>
          <t>TRX-2025-0182</t>
        </is>
      </c>
      <c r="B183" s="18" t="inlineStr">
        <is>
          <t>2026-08-25</t>
        </is>
      </c>
      <c r="C183" s="17" t="inlineStr">
        <is>
          <t>B2B Diretto</t>
        </is>
      </c>
      <c r="D183" s="17" t="inlineStr">
        <is>
          <t>Centro</t>
        </is>
      </c>
      <c r="E183" s="17" t="inlineStr">
        <is>
          <t>Elena Conti</t>
        </is>
      </c>
      <c r="F183" s="17" t="inlineStr">
        <is>
          <t>Enterprise</t>
        </is>
      </c>
      <c r="G183" s="17" t="inlineStr">
        <is>
          <t>Hardware &amp; IoT</t>
        </is>
      </c>
      <c r="H183" s="17" t="inlineStr">
        <is>
          <t>SENSOR-IOT-PACK</t>
        </is>
      </c>
      <c r="I183" s="19" t="n">
        <v>290</v>
      </c>
      <c r="J183" s="20" t="n">
        <v>1</v>
      </c>
      <c r="K183" s="21" t="n">
        <v>0</v>
      </c>
      <c r="L183" s="19">
        <f>I183*J183</f>
        <v/>
      </c>
      <c r="M183" s="19">
        <f>L183*K183</f>
        <v/>
      </c>
      <c r="N183" s="19">
        <f>L183-M183</f>
        <v/>
      </c>
      <c r="O183" s="19" t="n">
        <v>140</v>
      </c>
      <c r="P183" s="19">
        <f>O183*J183</f>
        <v/>
      </c>
      <c r="Q183" s="19">
        <f>N183-P183</f>
        <v/>
      </c>
      <c r="R183" s="21">
        <f>Q183/N183</f>
        <v/>
      </c>
    </row>
    <row r="184">
      <c r="A184" s="9" t="inlineStr">
        <is>
          <t>TRX-2025-0183</t>
        </is>
      </c>
      <c r="B184" s="13" t="inlineStr">
        <is>
          <t>2026-06-10</t>
        </is>
      </c>
      <c r="C184" s="9" t="inlineStr">
        <is>
          <t>E-commerce</t>
        </is>
      </c>
      <c r="D184" s="9" t="inlineStr">
        <is>
          <t>Estero (EU)</t>
        </is>
      </c>
      <c r="E184" s="9" t="inlineStr">
        <is>
          <t>Marco Rossi</t>
        </is>
      </c>
      <c r="F184" s="9" t="inlineStr">
        <is>
          <t>Enterprise</t>
        </is>
      </c>
      <c r="G184" s="9" t="inlineStr">
        <is>
          <t>Hardware &amp; IoT</t>
        </is>
      </c>
      <c r="H184" s="9" t="inlineStr">
        <is>
          <t>SENSOR-IOT-PACK</t>
        </is>
      </c>
      <c r="I184" s="14" t="n">
        <v>290</v>
      </c>
      <c r="J184" s="15" t="n">
        <v>5</v>
      </c>
      <c r="K184" s="16" t="n">
        <v>0</v>
      </c>
      <c r="L184" s="14">
        <f>I184*J184</f>
        <v/>
      </c>
      <c r="M184" s="14">
        <f>L184*K184</f>
        <v/>
      </c>
      <c r="N184" s="14">
        <f>L184-M184</f>
        <v/>
      </c>
      <c r="O184" s="14" t="n">
        <v>140</v>
      </c>
      <c r="P184" s="14">
        <f>O184*J184</f>
        <v/>
      </c>
      <c r="Q184" s="14">
        <f>N184-P184</f>
        <v/>
      </c>
      <c r="R184" s="16">
        <f>Q184/N184</f>
        <v/>
      </c>
    </row>
    <row r="185">
      <c r="A185" s="17" t="inlineStr">
        <is>
          <t>TRX-2026-0184</t>
        </is>
      </c>
      <c r="B185" s="18" t="inlineStr">
        <is>
          <t>2026-06-01</t>
        </is>
      </c>
      <c r="C185" s="17" t="inlineStr">
        <is>
          <t>B2B Diretto</t>
        </is>
      </c>
      <c r="D185" s="17" t="inlineStr">
        <is>
          <t>Nord-Est</t>
        </is>
      </c>
      <c r="E185" s="17" t="inlineStr">
        <is>
          <t>Marco Rossi</t>
        </is>
      </c>
      <c r="F185" s="17" t="inlineStr">
        <is>
          <t>PMI</t>
        </is>
      </c>
      <c r="G185" s="17" t="inlineStr">
        <is>
          <t>Consulenza &amp; Setup</t>
        </is>
      </c>
      <c r="H185" s="17" t="inlineStr">
        <is>
          <t>TRAINING-ONBOARDING</t>
        </is>
      </c>
      <c r="I185" s="19" t="n">
        <v>800</v>
      </c>
      <c r="J185" s="20" t="n">
        <v>20</v>
      </c>
      <c r="K185" s="21" t="n">
        <v>0.1</v>
      </c>
      <c r="L185" s="19">
        <f>I185*J185</f>
        <v/>
      </c>
      <c r="M185" s="19">
        <f>L185*K185</f>
        <v/>
      </c>
      <c r="N185" s="19">
        <f>L185-M185</f>
        <v/>
      </c>
      <c r="O185" s="19" t="n">
        <v>350</v>
      </c>
      <c r="P185" s="19">
        <f>O185*J185</f>
        <v/>
      </c>
      <c r="Q185" s="19">
        <f>N185-P185</f>
        <v/>
      </c>
      <c r="R185" s="21">
        <f>Q185/N185</f>
        <v/>
      </c>
    </row>
    <row r="186">
      <c r="A186" s="9" t="inlineStr">
        <is>
          <t>TRX-2026-0185</t>
        </is>
      </c>
      <c r="B186" s="13" t="inlineStr">
        <is>
          <t>2026-01-05</t>
        </is>
      </c>
      <c r="C186" s="9" t="inlineStr">
        <is>
          <t>E-commerce</t>
        </is>
      </c>
      <c r="D186" s="9" t="inlineStr">
        <is>
          <t>Estero (EU)</t>
        </is>
      </c>
      <c r="E186" s="9" t="inlineStr">
        <is>
          <t>Roberto Moretti</t>
        </is>
      </c>
      <c r="F186" s="9" t="inlineStr">
        <is>
          <t>Enterprise</t>
        </is>
      </c>
      <c r="G186" s="9" t="inlineStr">
        <is>
          <t>Hardware &amp; IoT</t>
        </is>
      </c>
      <c r="H186" s="9" t="inlineStr">
        <is>
          <t>SENSOR-IOT-PACK</t>
        </is>
      </c>
      <c r="I186" s="14" t="n">
        <v>290</v>
      </c>
      <c r="J186" s="15" t="n">
        <v>10</v>
      </c>
      <c r="K186" s="16" t="n">
        <v>0.1</v>
      </c>
      <c r="L186" s="14">
        <f>I186*J186</f>
        <v/>
      </c>
      <c r="M186" s="14">
        <f>L186*K186</f>
        <v/>
      </c>
      <c r="N186" s="14">
        <f>L186-M186</f>
        <v/>
      </c>
      <c r="O186" s="14" t="n">
        <v>140</v>
      </c>
      <c r="P186" s="14">
        <f>O186*J186</f>
        <v/>
      </c>
      <c r="Q186" s="14">
        <f>N186-P186</f>
        <v/>
      </c>
      <c r="R186" s="16">
        <f>Q186/N186</f>
        <v/>
      </c>
    </row>
    <row r="187">
      <c r="A187" s="17" t="inlineStr">
        <is>
          <t>TRX-2025-0186</t>
        </is>
      </c>
      <c r="B187" s="18" t="inlineStr">
        <is>
          <t>2026-01-20</t>
        </is>
      </c>
      <c r="C187" s="17" t="inlineStr">
        <is>
          <t>E-commerce</t>
        </is>
      </c>
      <c r="D187" s="17" t="inlineStr">
        <is>
          <t>Nord-Ovest</t>
        </is>
      </c>
      <c r="E187" s="17" t="inlineStr">
        <is>
          <t>Giulia Bianchi</t>
        </is>
      </c>
      <c r="F187" s="17" t="inlineStr">
        <is>
          <t>Professionisti / SOHO</t>
        </is>
      </c>
      <c r="G187" s="17" t="inlineStr">
        <is>
          <t>Hardware &amp; IoT</t>
        </is>
      </c>
      <c r="H187" s="17" t="inlineStr">
        <is>
          <t>GATEWAY-EDGE-PRO</t>
        </is>
      </c>
      <c r="I187" s="19" t="n">
        <v>890</v>
      </c>
      <c r="J187" s="20" t="n">
        <v>8</v>
      </c>
      <c r="K187" s="21" t="n">
        <v>0</v>
      </c>
      <c r="L187" s="19">
        <f>I187*J187</f>
        <v/>
      </c>
      <c r="M187" s="19">
        <f>L187*K187</f>
        <v/>
      </c>
      <c r="N187" s="19">
        <f>L187-M187</f>
        <v/>
      </c>
      <c r="O187" s="19" t="n">
        <v>520</v>
      </c>
      <c r="P187" s="19">
        <f>O187*J187</f>
        <v/>
      </c>
      <c r="Q187" s="19">
        <f>N187-P187</f>
        <v/>
      </c>
      <c r="R187" s="21">
        <f>Q187/N187</f>
        <v/>
      </c>
    </row>
    <row r="188">
      <c r="A188" s="9" t="inlineStr">
        <is>
          <t>TRX-2026-0187</t>
        </is>
      </c>
      <c r="B188" s="13" t="inlineStr">
        <is>
          <t>2026-05-08</t>
        </is>
      </c>
      <c r="C188" s="9" t="inlineStr">
        <is>
          <t>Partner / Retailer</t>
        </is>
      </c>
      <c r="D188" s="9" t="inlineStr">
        <is>
          <t>Estero (EU)</t>
        </is>
      </c>
      <c r="E188" s="9" t="inlineStr">
        <is>
          <t>Giulia Bianchi</t>
        </is>
      </c>
      <c r="F188" s="9" t="inlineStr">
        <is>
          <t>PMI</t>
        </is>
      </c>
      <c r="G188" s="9" t="inlineStr">
        <is>
          <t>Cloud &amp; Software</t>
        </is>
      </c>
      <c r="H188" s="9" t="inlineStr">
        <is>
          <t>SaaS-CORE-SMB</t>
        </is>
      </c>
      <c r="I188" s="14" t="n">
        <v>450</v>
      </c>
      <c r="J188" s="15" t="n">
        <v>1</v>
      </c>
      <c r="K188" s="16" t="n">
        <v>0</v>
      </c>
      <c r="L188" s="14">
        <f>I188*J188</f>
        <v/>
      </c>
      <c r="M188" s="14">
        <f>L188*K188</f>
        <v/>
      </c>
      <c r="N188" s="14">
        <f>L188-M188</f>
        <v/>
      </c>
      <c r="O188" s="14" t="n">
        <v>110</v>
      </c>
      <c r="P188" s="14">
        <f>O188*J188</f>
        <v/>
      </c>
      <c r="Q188" s="14">
        <f>N188-P188</f>
        <v/>
      </c>
      <c r="R188" s="16">
        <f>Q188/N188</f>
        <v/>
      </c>
    </row>
    <row r="189">
      <c r="A189" s="17" t="inlineStr">
        <is>
          <t>TRX-2026-0188</t>
        </is>
      </c>
      <c r="B189" s="18" t="inlineStr">
        <is>
          <t>2026-07-07</t>
        </is>
      </c>
      <c r="C189" s="17" t="inlineStr">
        <is>
          <t>B2B Diretto</t>
        </is>
      </c>
      <c r="D189" s="17" t="inlineStr">
        <is>
          <t>Sud &amp; Isole</t>
        </is>
      </c>
      <c r="E189" s="17" t="inlineStr">
        <is>
          <t>Roberto Moretti</t>
        </is>
      </c>
      <c r="F189" s="17" t="inlineStr">
        <is>
          <t>Enterprise</t>
        </is>
      </c>
      <c r="G189" s="17" t="inlineStr">
        <is>
          <t>Hardware &amp; IoT</t>
        </is>
      </c>
      <c r="H189" s="17" t="inlineStr">
        <is>
          <t>TERMINAL-SMART-V2</t>
        </is>
      </c>
      <c r="I189" s="19" t="n">
        <v>640</v>
      </c>
      <c r="J189" s="20" t="n">
        <v>5</v>
      </c>
      <c r="K189" s="21" t="n">
        <v>0.05</v>
      </c>
      <c r="L189" s="19">
        <f>I189*J189</f>
        <v/>
      </c>
      <c r="M189" s="19">
        <f>L189*K189</f>
        <v/>
      </c>
      <c r="N189" s="19">
        <f>L189-M189</f>
        <v/>
      </c>
      <c r="O189" s="19" t="n">
        <v>380</v>
      </c>
      <c r="P189" s="19">
        <f>O189*J189</f>
        <v/>
      </c>
      <c r="Q189" s="19">
        <f>N189-P189</f>
        <v/>
      </c>
      <c r="R189" s="21">
        <f>Q189/N189</f>
        <v/>
      </c>
    </row>
    <row r="190">
      <c r="A190" s="9" t="inlineStr">
        <is>
          <t>TRX-2026-0189</t>
        </is>
      </c>
      <c r="B190" s="13" t="inlineStr">
        <is>
          <t>2025-05-26</t>
        </is>
      </c>
      <c r="C190" s="9" t="inlineStr">
        <is>
          <t>Partner / Retailer</t>
        </is>
      </c>
      <c r="D190" s="9" t="inlineStr">
        <is>
          <t>Estero (EU)</t>
        </is>
      </c>
      <c r="E190" s="9" t="inlineStr">
        <is>
          <t>Roberto Moretti</t>
        </is>
      </c>
      <c r="F190" s="9" t="inlineStr">
        <is>
          <t>Enterprise</t>
        </is>
      </c>
      <c r="G190" s="9" t="inlineStr">
        <is>
          <t>Cloud &amp; Software</t>
        </is>
      </c>
      <c r="H190" s="9" t="inlineStr">
        <is>
          <t>AI-AGENT-MODULE</t>
        </is>
      </c>
      <c r="I190" s="14" t="n">
        <v>750</v>
      </c>
      <c r="J190" s="15" t="n">
        <v>2</v>
      </c>
      <c r="K190" s="16" t="n">
        <v>0.15</v>
      </c>
      <c r="L190" s="14">
        <f>I190*J190</f>
        <v/>
      </c>
      <c r="M190" s="14">
        <f>L190*K190</f>
        <v/>
      </c>
      <c r="N190" s="14">
        <f>L190-M190</f>
        <v/>
      </c>
      <c r="O190" s="14" t="n">
        <v>180</v>
      </c>
      <c r="P190" s="14">
        <f>O190*J190</f>
        <v/>
      </c>
      <c r="Q190" s="14">
        <f>N190-P190</f>
        <v/>
      </c>
      <c r="R190" s="16">
        <f>Q190/N190</f>
        <v/>
      </c>
    </row>
    <row r="191">
      <c r="A191" s="17" t="inlineStr">
        <is>
          <t>TRX-2025-0190</t>
        </is>
      </c>
      <c r="B191" s="18" t="inlineStr">
        <is>
          <t>2025-05-22</t>
        </is>
      </c>
      <c r="C191" s="17" t="inlineStr">
        <is>
          <t>E-commerce</t>
        </is>
      </c>
      <c r="D191" s="17" t="inlineStr">
        <is>
          <t>Centro</t>
        </is>
      </c>
      <c r="E191" s="17" t="inlineStr">
        <is>
          <t>Giulia Bianchi</t>
        </is>
      </c>
      <c r="F191" s="17" t="inlineStr">
        <is>
          <t>Enterprise</t>
        </is>
      </c>
      <c r="G191" s="17" t="inlineStr">
        <is>
          <t>Hardware &amp; IoT</t>
        </is>
      </c>
      <c r="H191" s="17" t="inlineStr">
        <is>
          <t>GATEWAY-EDGE-PRO</t>
        </is>
      </c>
      <c r="I191" s="19" t="n">
        <v>890</v>
      </c>
      <c r="J191" s="20" t="n">
        <v>2</v>
      </c>
      <c r="K191" s="21" t="n">
        <v>0.15</v>
      </c>
      <c r="L191" s="19">
        <f>I191*J191</f>
        <v/>
      </c>
      <c r="M191" s="19">
        <f>L191*K191</f>
        <v/>
      </c>
      <c r="N191" s="19">
        <f>L191-M191</f>
        <v/>
      </c>
      <c r="O191" s="19" t="n">
        <v>520</v>
      </c>
      <c r="P191" s="19">
        <f>O191*J191</f>
        <v/>
      </c>
      <c r="Q191" s="19">
        <f>N191-P191</f>
        <v/>
      </c>
      <c r="R191" s="21">
        <f>Q191/N191</f>
        <v/>
      </c>
    </row>
    <row r="192">
      <c r="A192" s="9" t="inlineStr">
        <is>
          <t>TRX-2026-0191</t>
        </is>
      </c>
      <c r="B192" s="13" t="inlineStr">
        <is>
          <t>2025-04-05</t>
        </is>
      </c>
      <c r="C192" s="9" t="inlineStr">
        <is>
          <t>B2B Diretto</t>
        </is>
      </c>
      <c r="D192" s="9" t="inlineStr">
        <is>
          <t>Estero (EU)</t>
        </is>
      </c>
      <c r="E192" s="9" t="inlineStr">
        <is>
          <t>Alessandro Riva</t>
        </is>
      </c>
      <c r="F192" s="9" t="inlineStr">
        <is>
          <t>Enterprise</t>
        </is>
      </c>
      <c r="G192" s="9" t="inlineStr">
        <is>
          <t>Hardware &amp; IoT</t>
        </is>
      </c>
      <c r="H192" s="9" t="inlineStr">
        <is>
          <t>SENSOR-IOT-PACK</t>
        </is>
      </c>
      <c r="I192" s="14" t="n">
        <v>290</v>
      </c>
      <c r="J192" s="15" t="n">
        <v>5</v>
      </c>
      <c r="K192" s="16" t="n">
        <v>0</v>
      </c>
      <c r="L192" s="14">
        <f>I192*J192</f>
        <v/>
      </c>
      <c r="M192" s="14">
        <f>L192*K192</f>
        <v/>
      </c>
      <c r="N192" s="14">
        <f>L192-M192</f>
        <v/>
      </c>
      <c r="O192" s="14" t="n">
        <v>140</v>
      </c>
      <c r="P192" s="14">
        <f>O192*J192</f>
        <v/>
      </c>
      <c r="Q192" s="14">
        <f>N192-P192</f>
        <v/>
      </c>
      <c r="R192" s="16">
        <f>Q192/N192</f>
        <v/>
      </c>
    </row>
    <row r="193">
      <c r="A193" s="17" t="inlineStr">
        <is>
          <t>TRX-2025-0192</t>
        </is>
      </c>
      <c r="B193" s="18" t="inlineStr">
        <is>
          <t>2025-06-21</t>
        </is>
      </c>
      <c r="C193" s="17" t="inlineStr">
        <is>
          <t>B2B Diretto</t>
        </is>
      </c>
      <c r="D193" s="17" t="inlineStr">
        <is>
          <t>Estero (EU)</t>
        </is>
      </c>
      <c r="E193" s="17" t="inlineStr">
        <is>
          <t>Roberto Moretti</t>
        </is>
      </c>
      <c r="F193" s="17" t="inlineStr">
        <is>
          <t>Enterprise</t>
        </is>
      </c>
      <c r="G193" s="17" t="inlineStr">
        <is>
          <t>Cloud &amp; Software</t>
        </is>
      </c>
      <c r="H193" s="17" t="inlineStr">
        <is>
          <t>SaaS-PLATFORM-ENT</t>
        </is>
      </c>
      <c r="I193" s="19" t="n">
        <v>1200</v>
      </c>
      <c r="J193" s="20" t="n">
        <v>8</v>
      </c>
      <c r="K193" s="21" t="n">
        <v>0</v>
      </c>
      <c r="L193" s="19">
        <f>I193*J193</f>
        <v/>
      </c>
      <c r="M193" s="19">
        <f>L193*K193</f>
        <v/>
      </c>
      <c r="N193" s="19">
        <f>L193-M193</f>
        <v/>
      </c>
      <c r="O193" s="19" t="n">
        <v>320</v>
      </c>
      <c r="P193" s="19">
        <f>O193*J193</f>
        <v/>
      </c>
      <c r="Q193" s="19">
        <f>N193-P193</f>
        <v/>
      </c>
      <c r="R193" s="21">
        <f>Q193/N193</f>
        <v/>
      </c>
    </row>
    <row r="194">
      <c r="A194" s="9" t="inlineStr">
        <is>
          <t>TRX-2025-0193</t>
        </is>
      </c>
      <c r="B194" s="13" t="inlineStr">
        <is>
          <t>2026-08-28</t>
        </is>
      </c>
      <c r="C194" s="9" t="inlineStr">
        <is>
          <t>B2B Diretto</t>
        </is>
      </c>
      <c r="D194" s="9" t="inlineStr">
        <is>
          <t>Nord-Est</t>
        </is>
      </c>
      <c r="E194" s="9" t="inlineStr">
        <is>
          <t>Roberto Moretti</t>
        </is>
      </c>
      <c r="F194" s="9" t="inlineStr">
        <is>
          <t>PMI</t>
        </is>
      </c>
      <c r="G194" s="9" t="inlineStr">
        <is>
          <t>Cloud &amp; Software</t>
        </is>
      </c>
      <c r="H194" s="9" t="inlineStr">
        <is>
          <t>SaaS-PLATFORM-ENT</t>
        </is>
      </c>
      <c r="I194" s="14" t="n">
        <v>1200</v>
      </c>
      <c r="J194" s="15" t="n">
        <v>3</v>
      </c>
      <c r="K194" s="16" t="n">
        <v>0.05</v>
      </c>
      <c r="L194" s="14">
        <f>I194*J194</f>
        <v/>
      </c>
      <c r="M194" s="14">
        <f>L194*K194</f>
        <v/>
      </c>
      <c r="N194" s="14">
        <f>L194-M194</f>
        <v/>
      </c>
      <c r="O194" s="14" t="n">
        <v>320</v>
      </c>
      <c r="P194" s="14">
        <f>O194*J194</f>
        <v/>
      </c>
      <c r="Q194" s="14">
        <f>N194-P194</f>
        <v/>
      </c>
      <c r="R194" s="16">
        <f>Q194/N194</f>
        <v/>
      </c>
    </row>
    <row r="195">
      <c r="A195" s="17" t="inlineStr">
        <is>
          <t>TRX-2026-0194</t>
        </is>
      </c>
      <c r="B195" s="18" t="inlineStr">
        <is>
          <t>2025-11-20</t>
        </is>
      </c>
      <c r="C195" s="17" t="inlineStr">
        <is>
          <t>E-commerce</t>
        </is>
      </c>
      <c r="D195" s="17" t="inlineStr">
        <is>
          <t>Sud &amp; Isole</t>
        </is>
      </c>
      <c r="E195" s="17" t="inlineStr">
        <is>
          <t>Alessandro Riva</t>
        </is>
      </c>
      <c r="F195" s="17" t="inlineStr">
        <is>
          <t>PMI</t>
        </is>
      </c>
      <c r="G195" s="17" t="inlineStr">
        <is>
          <t>Cloud &amp; Software</t>
        </is>
      </c>
      <c r="H195" s="17" t="inlineStr">
        <is>
          <t>SaaS-PLATFORM-ENT</t>
        </is>
      </c>
      <c r="I195" s="19" t="n">
        <v>1200</v>
      </c>
      <c r="J195" s="20" t="n">
        <v>1</v>
      </c>
      <c r="K195" s="21" t="n">
        <v>0.05</v>
      </c>
      <c r="L195" s="19">
        <f>I195*J195</f>
        <v/>
      </c>
      <c r="M195" s="19">
        <f>L195*K195</f>
        <v/>
      </c>
      <c r="N195" s="19">
        <f>L195-M195</f>
        <v/>
      </c>
      <c r="O195" s="19" t="n">
        <v>320</v>
      </c>
      <c r="P195" s="19">
        <f>O195*J195</f>
        <v/>
      </c>
      <c r="Q195" s="19">
        <f>N195-P195</f>
        <v/>
      </c>
      <c r="R195" s="21">
        <f>Q195/N195</f>
        <v/>
      </c>
    </row>
    <row r="196">
      <c r="A196" s="9" t="inlineStr">
        <is>
          <t>TRX-2026-0195</t>
        </is>
      </c>
      <c r="B196" s="13" t="inlineStr">
        <is>
          <t>2025-08-11</t>
        </is>
      </c>
      <c r="C196" s="9" t="inlineStr">
        <is>
          <t>B2B Diretto</t>
        </is>
      </c>
      <c r="D196" s="9" t="inlineStr">
        <is>
          <t>Nord-Est</t>
        </is>
      </c>
      <c r="E196" s="9" t="inlineStr">
        <is>
          <t>Alessandro Riva</t>
        </is>
      </c>
      <c r="F196" s="9" t="inlineStr">
        <is>
          <t>Professionisti / SOHO</t>
        </is>
      </c>
      <c r="G196" s="9" t="inlineStr">
        <is>
          <t>Hardware &amp; IoT</t>
        </is>
      </c>
      <c r="H196" s="9" t="inlineStr">
        <is>
          <t>TERMINAL-SMART-V2</t>
        </is>
      </c>
      <c r="I196" s="14" t="n">
        <v>640</v>
      </c>
      <c r="J196" s="15" t="n">
        <v>5</v>
      </c>
      <c r="K196" s="16" t="n">
        <v>0.15</v>
      </c>
      <c r="L196" s="14">
        <f>I196*J196</f>
        <v/>
      </c>
      <c r="M196" s="14">
        <f>L196*K196</f>
        <v/>
      </c>
      <c r="N196" s="14">
        <f>L196-M196</f>
        <v/>
      </c>
      <c r="O196" s="14" t="n">
        <v>380</v>
      </c>
      <c r="P196" s="14">
        <f>O196*J196</f>
        <v/>
      </c>
      <c r="Q196" s="14">
        <f>N196-P196</f>
        <v/>
      </c>
      <c r="R196" s="16">
        <f>Q196/N196</f>
        <v/>
      </c>
    </row>
    <row r="197">
      <c r="A197" s="17" t="inlineStr">
        <is>
          <t>TRX-2026-0196</t>
        </is>
      </c>
      <c r="B197" s="18" t="inlineStr">
        <is>
          <t>2025-05-28</t>
        </is>
      </c>
      <c r="C197" s="17" t="inlineStr">
        <is>
          <t>E-commerce</t>
        </is>
      </c>
      <c r="D197" s="17" t="inlineStr">
        <is>
          <t>Estero (EU)</t>
        </is>
      </c>
      <c r="E197" s="17" t="inlineStr">
        <is>
          <t>Roberto Moretti</t>
        </is>
      </c>
      <c r="F197" s="17" t="inlineStr">
        <is>
          <t>Enterprise</t>
        </is>
      </c>
      <c r="G197" s="17" t="inlineStr">
        <is>
          <t>Hardware &amp; IoT</t>
        </is>
      </c>
      <c r="H197" s="17" t="inlineStr">
        <is>
          <t>GATEWAY-EDGE-PRO</t>
        </is>
      </c>
      <c r="I197" s="19" t="n">
        <v>890</v>
      </c>
      <c r="J197" s="20" t="n">
        <v>3</v>
      </c>
      <c r="K197" s="21" t="n">
        <v>0</v>
      </c>
      <c r="L197" s="19">
        <f>I197*J197</f>
        <v/>
      </c>
      <c r="M197" s="19">
        <f>L197*K197</f>
        <v/>
      </c>
      <c r="N197" s="19">
        <f>L197-M197</f>
        <v/>
      </c>
      <c r="O197" s="19" t="n">
        <v>520</v>
      </c>
      <c r="P197" s="19">
        <f>O197*J197</f>
        <v/>
      </c>
      <c r="Q197" s="19">
        <f>N197-P197</f>
        <v/>
      </c>
      <c r="R197" s="21">
        <f>Q197/N197</f>
        <v/>
      </c>
    </row>
    <row r="198">
      <c r="A198" s="9" t="inlineStr">
        <is>
          <t>TRX-2025-0197</t>
        </is>
      </c>
      <c r="B198" s="13" t="inlineStr">
        <is>
          <t>2025-06-08</t>
        </is>
      </c>
      <c r="C198" s="9" t="inlineStr">
        <is>
          <t>B2B Diretto</t>
        </is>
      </c>
      <c r="D198" s="9" t="inlineStr">
        <is>
          <t>Centro</t>
        </is>
      </c>
      <c r="E198" s="9" t="inlineStr">
        <is>
          <t>Elena Conti</t>
        </is>
      </c>
      <c r="F198" s="9" t="inlineStr">
        <is>
          <t>Professionisti / SOHO</t>
        </is>
      </c>
      <c r="G198" s="9" t="inlineStr">
        <is>
          <t>Consulenza &amp; Setup</t>
        </is>
      </c>
      <c r="H198" s="9" t="inlineStr">
        <is>
          <t>SETUP-INTEGRATION</t>
        </is>
      </c>
      <c r="I198" s="14" t="n">
        <v>1500</v>
      </c>
      <c r="J198" s="15" t="n">
        <v>1</v>
      </c>
      <c r="K198" s="16" t="n">
        <v>0.15</v>
      </c>
      <c r="L198" s="14">
        <f>I198*J198</f>
        <v/>
      </c>
      <c r="M198" s="14">
        <f>L198*K198</f>
        <v/>
      </c>
      <c r="N198" s="14">
        <f>L198-M198</f>
        <v/>
      </c>
      <c r="O198" s="14" t="n">
        <v>650</v>
      </c>
      <c r="P198" s="14">
        <f>O198*J198</f>
        <v/>
      </c>
      <c r="Q198" s="14">
        <f>N198-P198</f>
        <v/>
      </c>
      <c r="R198" s="16">
        <f>Q198/N198</f>
        <v/>
      </c>
    </row>
    <row r="199">
      <c r="A199" s="17" t="inlineStr">
        <is>
          <t>TRX-2025-0198</t>
        </is>
      </c>
      <c r="B199" s="18" t="inlineStr">
        <is>
          <t>2025-12-16</t>
        </is>
      </c>
      <c r="C199" s="17" t="inlineStr">
        <is>
          <t>Partner / Retailer</t>
        </is>
      </c>
      <c r="D199" s="17" t="inlineStr">
        <is>
          <t>Centro</t>
        </is>
      </c>
      <c r="E199" s="17" t="inlineStr">
        <is>
          <t>Giulia Bianchi</t>
        </is>
      </c>
      <c r="F199" s="17" t="inlineStr">
        <is>
          <t>Professionisti / SOHO</t>
        </is>
      </c>
      <c r="G199" s="17" t="inlineStr">
        <is>
          <t>Consulenza &amp; Setup</t>
        </is>
      </c>
      <c r="H199" s="17" t="inlineStr">
        <is>
          <t>TRAINING-ONBOARDING</t>
        </is>
      </c>
      <c r="I199" s="19" t="n">
        <v>800</v>
      </c>
      <c r="J199" s="20" t="n">
        <v>20</v>
      </c>
      <c r="K199" s="21" t="n">
        <v>0.05</v>
      </c>
      <c r="L199" s="19">
        <f>I199*J199</f>
        <v/>
      </c>
      <c r="M199" s="19">
        <f>L199*K199</f>
        <v/>
      </c>
      <c r="N199" s="19">
        <f>L199-M199</f>
        <v/>
      </c>
      <c r="O199" s="19" t="n">
        <v>350</v>
      </c>
      <c r="P199" s="19">
        <f>O199*J199</f>
        <v/>
      </c>
      <c r="Q199" s="19">
        <f>N199-P199</f>
        <v/>
      </c>
      <c r="R199" s="21">
        <f>Q199/N199</f>
        <v/>
      </c>
    </row>
    <row r="200">
      <c r="A200" s="9" t="inlineStr">
        <is>
          <t>TRX-2026-0199</t>
        </is>
      </c>
      <c r="B200" s="13" t="inlineStr">
        <is>
          <t>2026-06-08</t>
        </is>
      </c>
      <c r="C200" s="9" t="inlineStr">
        <is>
          <t>B2B Diretto</t>
        </is>
      </c>
      <c r="D200" s="9" t="inlineStr">
        <is>
          <t>Sud &amp; Isole</t>
        </is>
      </c>
      <c r="E200" s="9" t="inlineStr">
        <is>
          <t>Roberto Moretti</t>
        </is>
      </c>
      <c r="F200" s="9" t="inlineStr">
        <is>
          <t>PMI</t>
        </is>
      </c>
      <c r="G200" s="9" t="inlineStr">
        <is>
          <t>Hardware &amp; IoT</t>
        </is>
      </c>
      <c r="H200" s="9" t="inlineStr">
        <is>
          <t>GATEWAY-EDGE-PRO</t>
        </is>
      </c>
      <c r="I200" s="14" t="n">
        <v>890</v>
      </c>
      <c r="J200" s="15" t="n">
        <v>1</v>
      </c>
      <c r="K200" s="16" t="n">
        <v>0</v>
      </c>
      <c r="L200" s="14">
        <f>I200*J200</f>
        <v/>
      </c>
      <c r="M200" s="14">
        <f>L200*K200</f>
        <v/>
      </c>
      <c r="N200" s="14">
        <f>L200-M200</f>
        <v/>
      </c>
      <c r="O200" s="14" t="n">
        <v>520</v>
      </c>
      <c r="P200" s="14">
        <f>O200*J200</f>
        <v/>
      </c>
      <c r="Q200" s="14">
        <f>N200-P200</f>
        <v/>
      </c>
      <c r="R200" s="16">
        <f>Q200/N200</f>
        <v/>
      </c>
    </row>
    <row r="201">
      <c r="A201" s="17" t="inlineStr">
        <is>
          <t>TRX-2025-0200</t>
        </is>
      </c>
      <c r="B201" s="18" t="inlineStr">
        <is>
          <t>2025-10-30</t>
        </is>
      </c>
      <c r="C201" s="17" t="inlineStr">
        <is>
          <t>E-commerce</t>
        </is>
      </c>
      <c r="D201" s="17" t="inlineStr">
        <is>
          <t>Sud &amp; Isole</t>
        </is>
      </c>
      <c r="E201" s="17" t="inlineStr">
        <is>
          <t>Alessandro Riva</t>
        </is>
      </c>
      <c r="F201" s="17" t="inlineStr">
        <is>
          <t>PMI</t>
        </is>
      </c>
      <c r="G201" s="17" t="inlineStr">
        <is>
          <t>Cloud &amp; Software</t>
        </is>
      </c>
      <c r="H201" s="17" t="inlineStr">
        <is>
          <t>SaaS-CORE-SMB</t>
        </is>
      </c>
      <c r="I201" s="19" t="n">
        <v>450</v>
      </c>
      <c r="J201" s="20" t="n">
        <v>2</v>
      </c>
      <c r="K201" s="21" t="n">
        <v>0.15</v>
      </c>
      <c r="L201" s="19">
        <f>I201*J201</f>
        <v/>
      </c>
      <c r="M201" s="19">
        <f>L201*K201</f>
        <v/>
      </c>
      <c r="N201" s="19">
        <f>L201-M201</f>
        <v/>
      </c>
      <c r="O201" s="19" t="n">
        <v>110</v>
      </c>
      <c r="P201" s="19">
        <f>O201*J201</f>
        <v/>
      </c>
      <c r="Q201" s="19">
        <f>N201-P201</f>
        <v/>
      </c>
      <c r="R201" s="21">
        <f>Q201/N201</f>
        <v/>
      </c>
    </row>
    <row r="202">
      <c r="A202" s="9" t="inlineStr">
        <is>
          <t>TRX-2026-0201</t>
        </is>
      </c>
      <c r="B202" s="13" t="inlineStr">
        <is>
          <t>2026-03-03</t>
        </is>
      </c>
      <c r="C202" s="9" t="inlineStr">
        <is>
          <t>B2B Diretto</t>
        </is>
      </c>
      <c r="D202" s="9" t="inlineStr">
        <is>
          <t>Sud &amp; Isole</t>
        </is>
      </c>
      <c r="E202" s="9" t="inlineStr">
        <is>
          <t>Marco Rossi</t>
        </is>
      </c>
      <c r="F202" s="9" t="inlineStr">
        <is>
          <t>PMI</t>
        </is>
      </c>
      <c r="G202" s="9" t="inlineStr">
        <is>
          <t>Hardware &amp; IoT</t>
        </is>
      </c>
      <c r="H202" s="9" t="inlineStr">
        <is>
          <t>GATEWAY-EDGE-PRO</t>
        </is>
      </c>
      <c r="I202" s="14" t="n">
        <v>890</v>
      </c>
      <c r="J202" s="15" t="n">
        <v>2</v>
      </c>
      <c r="K202" s="16" t="n">
        <v>0</v>
      </c>
      <c r="L202" s="14">
        <f>I202*J202</f>
        <v/>
      </c>
      <c r="M202" s="14">
        <f>L202*K202</f>
        <v/>
      </c>
      <c r="N202" s="14">
        <f>L202-M202</f>
        <v/>
      </c>
      <c r="O202" s="14" t="n">
        <v>520</v>
      </c>
      <c r="P202" s="14">
        <f>O202*J202</f>
        <v/>
      </c>
      <c r="Q202" s="14">
        <f>N202-P202</f>
        <v/>
      </c>
      <c r="R202" s="16">
        <f>Q202/N202</f>
        <v/>
      </c>
    </row>
    <row r="203">
      <c r="A203" s="17" t="inlineStr">
        <is>
          <t>TRX-2026-0202</t>
        </is>
      </c>
      <c r="B203" s="18" t="inlineStr">
        <is>
          <t>2026-06-15</t>
        </is>
      </c>
      <c r="C203" s="17" t="inlineStr">
        <is>
          <t>E-commerce</t>
        </is>
      </c>
      <c r="D203" s="17" t="inlineStr">
        <is>
          <t>Estero (EU)</t>
        </is>
      </c>
      <c r="E203" s="17" t="inlineStr">
        <is>
          <t>Alessandro Riva</t>
        </is>
      </c>
      <c r="F203" s="17" t="inlineStr">
        <is>
          <t>Professionisti / SOHO</t>
        </is>
      </c>
      <c r="G203" s="17" t="inlineStr">
        <is>
          <t>Cloud &amp; Software</t>
        </is>
      </c>
      <c r="H203" s="17" t="inlineStr">
        <is>
          <t>SaaS-CORE-SMB</t>
        </is>
      </c>
      <c r="I203" s="19" t="n">
        <v>450</v>
      </c>
      <c r="J203" s="20" t="n">
        <v>1</v>
      </c>
      <c r="K203" s="21" t="n">
        <v>0</v>
      </c>
      <c r="L203" s="19">
        <f>I203*J203</f>
        <v/>
      </c>
      <c r="M203" s="19">
        <f>L203*K203</f>
        <v/>
      </c>
      <c r="N203" s="19">
        <f>L203-M203</f>
        <v/>
      </c>
      <c r="O203" s="19" t="n">
        <v>110</v>
      </c>
      <c r="P203" s="19">
        <f>O203*J203</f>
        <v/>
      </c>
      <c r="Q203" s="19">
        <f>N203-P203</f>
        <v/>
      </c>
      <c r="R203" s="21">
        <f>Q203/N203</f>
        <v/>
      </c>
    </row>
    <row r="204">
      <c r="A204" s="9" t="inlineStr">
        <is>
          <t>TRX-2026-0203</t>
        </is>
      </c>
      <c r="B204" s="13" t="inlineStr">
        <is>
          <t>2025-12-28</t>
        </is>
      </c>
      <c r="C204" s="9" t="inlineStr">
        <is>
          <t>E-commerce</t>
        </is>
      </c>
      <c r="D204" s="9" t="inlineStr">
        <is>
          <t>Centro</t>
        </is>
      </c>
      <c r="E204" s="9" t="inlineStr">
        <is>
          <t>Giulia Bianchi</t>
        </is>
      </c>
      <c r="F204" s="9" t="inlineStr">
        <is>
          <t>Enterprise</t>
        </is>
      </c>
      <c r="G204" s="9" t="inlineStr">
        <is>
          <t>Consulenza &amp; Setup</t>
        </is>
      </c>
      <c r="H204" s="9" t="inlineStr">
        <is>
          <t>SECURITY-AUDIT</t>
        </is>
      </c>
      <c r="I204" s="14" t="n">
        <v>2200</v>
      </c>
      <c r="J204" s="15" t="n">
        <v>2</v>
      </c>
      <c r="K204" s="16" t="n">
        <v>0</v>
      </c>
      <c r="L204" s="14">
        <f>I204*J204</f>
        <v/>
      </c>
      <c r="M204" s="14">
        <f>L204*K204</f>
        <v/>
      </c>
      <c r="N204" s="14">
        <f>L204-M204</f>
        <v/>
      </c>
      <c r="O204" s="14" t="n">
        <v>950</v>
      </c>
      <c r="P204" s="14">
        <f>O204*J204</f>
        <v/>
      </c>
      <c r="Q204" s="14">
        <f>N204-P204</f>
        <v/>
      </c>
      <c r="R204" s="16">
        <f>Q204/N204</f>
        <v/>
      </c>
    </row>
    <row r="205">
      <c r="A205" s="17" t="inlineStr">
        <is>
          <t>TRX-2025-0204</t>
        </is>
      </c>
      <c r="B205" s="18" t="inlineStr">
        <is>
          <t>2025-06-04</t>
        </is>
      </c>
      <c r="C205" s="17" t="inlineStr">
        <is>
          <t>E-commerce</t>
        </is>
      </c>
      <c r="D205" s="17" t="inlineStr">
        <is>
          <t>Sud &amp; Isole</t>
        </is>
      </c>
      <c r="E205" s="17" t="inlineStr">
        <is>
          <t>Roberto Moretti</t>
        </is>
      </c>
      <c r="F205" s="17" t="inlineStr">
        <is>
          <t>PMI</t>
        </is>
      </c>
      <c r="G205" s="17" t="inlineStr">
        <is>
          <t>Consulenza &amp; Setup</t>
        </is>
      </c>
      <c r="H205" s="17" t="inlineStr">
        <is>
          <t>SECURITY-AUDIT</t>
        </is>
      </c>
      <c r="I205" s="19" t="n">
        <v>2200</v>
      </c>
      <c r="J205" s="20" t="n">
        <v>1</v>
      </c>
      <c r="K205" s="21" t="n">
        <v>0.15</v>
      </c>
      <c r="L205" s="19">
        <f>I205*J205</f>
        <v/>
      </c>
      <c r="M205" s="19">
        <f>L205*K205</f>
        <v/>
      </c>
      <c r="N205" s="19">
        <f>L205-M205</f>
        <v/>
      </c>
      <c r="O205" s="19" t="n">
        <v>950</v>
      </c>
      <c r="P205" s="19">
        <f>O205*J205</f>
        <v/>
      </c>
      <c r="Q205" s="19">
        <f>N205-P205</f>
        <v/>
      </c>
      <c r="R205" s="21">
        <f>Q205/N205</f>
        <v/>
      </c>
    </row>
    <row r="206">
      <c r="A206" s="9" t="inlineStr">
        <is>
          <t>TRX-2026-0205</t>
        </is>
      </c>
      <c r="B206" s="13" t="inlineStr">
        <is>
          <t>2025-06-30</t>
        </is>
      </c>
      <c r="C206" s="9" t="inlineStr">
        <is>
          <t>B2B Diretto</t>
        </is>
      </c>
      <c r="D206" s="9" t="inlineStr">
        <is>
          <t>Estero (EU)</t>
        </is>
      </c>
      <c r="E206" s="9" t="inlineStr">
        <is>
          <t>Alessandro Riva</t>
        </is>
      </c>
      <c r="F206" s="9" t="inlineStr">
        <is>
          <t>PMI</t>
        </is>
      </c>
      <c r="G206" s="9" t="inlineStr">
        <is>
          <t>Consulenza &amp; Setup</t>
        </is>
      </c>
      <c r="H206" s="9" t="inlineStr">
        <is>
          <t>SECURITY-AUDIT</t>
        </is>
      </c>
      <c r="I206" s="14" t="n">
        <v>2200</v>
      </c>
      <c r="J206" s="15" t="n">
        <v>8</v>
      </c>
      <c r="K206" s="16" t="n">
        <v>0.05</v>
      </c>
      <c r="L206" s="14">
        <f>I206*J206</f>
        <v/>
      </c>
      <c r="M206" s="14">
        <f>L206*K206</f>
        <v/>
      </c>
      <c r="N206" s="14">
        <f>L206-M206</f>
        <v/>
      </c>
      <c r="O206" s="14" t="n">
        <v>950</v>
      </c>
      <c r="P206" s="14">
        <f>O206*J206</f>
        <v/>
      </c>
      <c r="Q206" s="14">
        <f>N206-P206</f>
        <v/>
      </c>
      <c r="R206" s="16">
        <f>Q206/N206</f>
        <v/>
      </c>
    </row>
    <row r="207">
      <c r="A207" s="17" t="inlineStr">
        <is>
          <t>TRX-2026-0206</t>
        </is>
      </c>
      <c r="B207" s="18" t="inlineStr">
        <is>
          <t>2026-05-16</t>
        </is>
      </c>
      <c r="C207" s="17" t="inlineStr">
        <is>
          <t>Partner / Retailer</t>
        </is>
      </c>
      <c r="D207" s="17" t="inlineStr">
        <is>
          <t>Centro</t>
        </is>
      </c>
      <c r="E207" s="17" t="inlineStr">
        <is>
          <t>Alessandro Riva</t>
        </is>
      </c>
      <c r="F207" s="17" t="inlineStr">
        <is>
          <t>PMI</t>
        </is>
      </c>
      <c r="G207" s="17" t="inlineStr">
        <is>
          <t>Consulenza &amp; Setup</t>
        </is>
      </c>
      <c r="H207" s="17" t="inlineStr">
        <is>
          <t>SETUP-INTEGRATION</t>
        </is>
      </c>
      <c r="I207" s="19" t="n">
        <v>1500</v>
      </c>
      <c r="J207" s="20" t="n">
        <v>3</v>
      </c>
      <c r="K207" s="21" t="n">
        <v>0.1</v>
      </c>
      <c r="L207" s="19">
        <f>I207*J207</f>
        <v/>
      </c>
      <c r="M207" s="19">
        <f>L207*K207</f>
        <v/>
      </c>
      <c r="N207" s="19">
        <f>L207-M207</f>
        <v/>
      </c>
      <c r="O207" s="19" t="n">
        <v>650</v>
      </c>
      <c r="P207" s="19">
        <f>O207*J207</f>
        <v/>
      </c>
      <c r="Q207" s="19">
        <f>N207-P207</f>
        <v/>
      </c>
      <c r="R207" s="21">
        <f>Q207/N207</f>
        <v/>
      </c>
    </row>
    <row r="208">
      <c r="A208" s="9" t="inlineStr">
        <is>
          <t>TRX-2025-0207</t>
        </is>
      </c>
      <c r="B208" s="13" t="inlineStr">
        <is>
          <t>2026-05-15</t>
        </is>
      </c>
      <c r="C208" s="9" t="inlineStr">
        <is>
          <t>B2B Diretto</t>
        </is>
      </c>
      <c r="D208" s="9" t="inlineStr">
        <is>
          <t>Estero (EU)</t>
        </is>
      </c>
      <c r="E208" s="9" t="inlineStr">
        <is>
          <t>Roberto Moretti</t>
        </is>
      </c>
      <c r="F208" s="9" t="inlineStr">
        <is>
          <t>Enterprise</t>
        </is>
      </c>
      <c r="G208" s="9" t="inlineStr">
        <is>
          <t>Cloud &amp; Software</t>
        </is>
      </c>
      <c r="H208" s="9" t="inlineStr">
        <is>
          <t>SaaS-PLATFORM-ENT</t>
        </is>
      </c>
      <c r="I208" s="14" t="n">
        <v>1200</v>
      </c>
      <c r="J208" s="15" t="n">
        <v>3</v>
      </c>
      <c r="K208" s="16" t="n">
        <v>0</v>
      </c>
      <c r="L208" s="14">
        <f>I208*J208</f>
        <v/>
      </c>
      <c r="M208" s="14">
        <f>L208*K208</f>
        <v/>
      </c>
      <c r="N208" s="14">
        <f>L208-M208</f>
        <v/>
      </c>
      <c r="O208" s="14" t="n">
        <v>320</v>
      </c>
      <c r="P208" s="14">
        <f>O208*J208</f>
        <v/>
      </c>
      <c r="Q208" s="14">
        <f>N208-P208</f>
        <v/>
      </c>
      <c r="R208" s="16">
        <f>Q208/N208</f>
        <v/>
      </c>
    </row>
    <row r="209">
      <c r="A209" s="17" t="inlineStr">
        <is>
          <t>TRX-2026-0208</t>
        </is>
      </c>
      <c r="B209" s="18" t="inlineStr">
        <is>
          <t>2025-06-15</t>
        </is>
      </c>
      <c r="C209" s="17" t="inlineStr">
        <is>
          <t>Partner / Retailer</t>
        </is>
      </c>
      <c r="D209" s="17" t="inlineStr">
        <is>
          <t>Nord-Est</t>
        </is>
      </c>
      <c r="E209" s="17" t="inlineStr">
        <is>
          <t>Marco Rossi</t>
        </is>
      </c>
      <c r="F209" s="17" t="inlineStr">
        <is>
          <t>PMI</t>
        </is>
      </c>
      <c r="G209" s="17" t="inlineStr">
        <is>
          <t>Cloud &amp; Software</t>
        </is>
      </c>
      <c r="H209" s="17" t="inlineStr">
        <is>
          <t>SaaS-CORE-SMB</t>
        </is>
      </c>
      <c r="I209" s="19" t="n">
        <v>450</v>
      </c>
      <c r="J209" s="20" t="n">
        <v>1</v>
      </c>
      <c r="K209" s="21" t="n">
        <v>0.05</v>
      </c>
      <c r="L209" s="19">
        <f>I209*J209</f>
        <v/>
      </c>
      <c r="M209" s="19">
        <f>L209*K209</f>
        <v/>
      </c>
      <c r="N209" s="19">
        <f>L209-M209</f>
        <v/>
      </c>
      <c r="O209" s="19" t="n">
        <v>110</v>
      </c>
      <c r="P209" s="19">
        <f>O209*J209</f>
        <v/>
      </c>
      <c r="Q209" s="19">
        <f>N209-P209</f>
        <v/>
      </c>
      <c r="R209" s="21">
        <f>Q209/N209</f>
        <v/>
      </c>
    </row>
    <row r="210">
      <c r="A210" s="9" t="inlineStr">
        <is>
          <t>TRX-2026-0209</t>
        </is>
      </c>
      <c r="B210" s="13" t="inlineStr">
        <is>
          <t>2025-06-19</t>
        </is>
      </c>
      <c r="C210" s="9" t="inlineStr">
        <is>
          <t>B2B Diretto</t>
        </is>
      </c>
      <c r="D210" s="9" t="inlineStr">
        <is>
          <t>Nord-Est</t>
        </is>
      </c>
      <c r="E210" s="9" t="inlineStr">
        <is>
          <t>Elena Conti</t>
        </is>
      </c>
      <c r="F210" s="9" t="inlineStr">
        <is>
          <t>PMI</t>
        </is>
      </c>
      <c r="G210" s="9" t="inlineStr">
        <is>
          <t>Consulenza &amp; Setup</t>
        </is>
      </c>
      <c r="H210" s="9" t="inlineStr">
        <is>
          <t>TRAINING-ONBOARDING</t>
        </is>
      </c>
      <c r="I210" s="14" t="n">
        <v>800</v>
      </c>
      <c r="J210" s="15" t="n">
        <v>10</v>
      </c>
      <c r="K210" s="16" t="n">
        <v>0.1</v>
      </c>
      <c r="L210" s="14">
        <f>I210*J210</f>
        <v/>
      </c>
      <c r="M210" s="14">
        <f>L210*K210</f>
        <v/>
      </c>
      <c r="N210" s="14">
        <f>L210-M210</f>
        <v/>
      </c>
      <c r="O210" s="14" t="n">
        <v>350</v>
      </c>
      <c r="P210" s="14">
        <f>O210*J210</f>
        <v/>
      </c>
      <c r="Q210" s="14">
        <f>N210-P210</f>
        <v/>
      </c>
      <c r="R210" s="16">
        <f>Q210/N210</f>
        <v/>
      </c>
    </row>
    <row r="211">
      <c r="A211" s="17" t="inlineStr">
        <is>
          <t>TRX-2025-0210</t>
        </is>
      </c>
      <c r="B211" s="18" t="inlineStr">
        <is>
          <t>2025-06-05</t>
        </is>
      </c>
      <c r="C211" s="17" t="inlineStr">
        <is>
          <t>E-commerce</t>
        </is>
      </c>
      <c r="D211" s="17" t="inlineStr">
        <is>
          <t>Estero (EU)</t>
        </is>
      </c>
      <c r="E211" s="17" t="inlineStr">
        <is>
          <t>Alessandro Riva</t>
        </is>
      </c>
      <c r="F211" s="17" t="inlineStr">
        <is>
          <t>Pubblica Amministrazione</t>
        </is>
      </c>
      <c r="G211" s="17" t="inlineStr">
        <is>
          <t>Consulenza &amp; Setup</t>
        </is>
      </c>
      <c r="H211" s="17" t="inlineStr">
        <is>
          <t>TRAINING-ONBOARDING</t>
        </is>
      </c>
      <c r="I211" s="19" t="n">
        <v>800</v>
      </c>
      <c r="J211" s="20" t="n">
        <v>3</v>
      </c>
      <c r="K211" s="21" t="n">
        <v>0</v>
      </c>
      <c r="L211" s="19">
        <f>I211*J211</f>
        <v/>
      </c>
      <c r="M211" s="19">
        <f>L211*K211</f>
        <v/>
      </c>
      <c r="N211" s="19">
        <f>L211-M211</f>
        <v/>
      </c>
      <c r="O211" s="19" t="n">
        <v>350</v>
      </c>
      <c r="P211" s="19">
        <f>O211*J211</f>
        <v/>
      </c>
      <c r="Q211" s="19">
        <f>N211-P211</f>
        <v/>
      </c>
      <c r="R211" s="21">
        <f>Q211/N211</f>
        <v/>
      </c>
    </row>
    <row r="212">
      <c r="A212" s="9" t="inlineStr">
        <is>
          <t>TRX-2025-0211</t>
        </is>
      </c>
      <c r="B212" s="13" t="inlineStr">
        <is>
          <t>2026-04-30</t>
        </is>
      </c>
      <c r="C212" s="9" t="inlineStr">
        <is>
          <t>Partner / Retailer</t>
        </is>
      </c>
      <c r="D212" s="9" t="inlineStr">
        <is>
          <t>Centro</t>
        </is>
      </c>
      <c r="E212" s="9" t="inlineStr">
        <is>
          <t>Roberto Moretti</t>
        </is>
      </c>
      <c r="F212" s="9" t="inlineStr">
        <is>
          <t>PMI</t>
        </is>
      </c>
      <c r="G212" s="9" t="inlineStr">
        <is>
          <t>Hardware &amp; IoT</t>
        </is>
      </c>
      <c r="H212" s="9" t="inlineStr">
        <is>
          <t>SENSOR-IOT-PACK</t>
        </is>
      </c>
      <c r="I212" s="14" t="n">
        <v>290</v>
      </c>
      <c r="J212" s="15" t="n">
        <v>5</v>
      </c>
      <c r="K212" s="16" t="n">
        <v>0</v>
      </c>
      <c r="L212" s="14">
        <f>I212*J212</f>
        <v/>
      </c>
      <c r="M212" s="14">
        <f>L212*K212</f>
        <v/>
      </c>
      <c r="N212" s="14">
        <f>L212-M212</f>
        <v/>
      </c>
      <c r="O212" s="14" t="n">
        <v>140</v>
      </c>
      <c r="P212" s="14">
        <f>O212*J212</f>
        <v/>
      </c>
      <c r="Q212" s="14">
        <f>N212-P212</f>
        <v/>
      </c>
      <c r="R212" s="16">
        <f>Q212/N212</f>
        <v/>
      </c>
    </row>
    <row r="213">
      <c r="A213" s="17" t="inlineStr">
        <is>
          <t>TRX-2025-0212</t>
        </is>
      </c>
      <c r="B213" s="18" t="inlineStr">
        <is>
          <t>2025-10-27</t>
        </is>
      </c>
      <c r="C213" s="17" t="inlineStr">
        <is>
          <t>E-commerce</t>
        </is>
      </c>
      <c r="D213" s="17" t="inlineStr">
        <is>
          <t>Nord-Est</t>
        </is>
      </c>
      <c r="E213" s="17" t="inlineStr">
        <is>
          <t>Alessandro Riva</t>
        </is>
      </c>
      <c r="F213" s="17" t="inlineStr">
        <is>
          <t>Professionisti / SOHO</t>
        </is>
      </c>
      <c r="G213" s="17" t="inlineStr">
        <is>
          <t>Hardware &amp; IoT</t>
        </is>
      </c>
      <c r="H213" s="17" t="inlineStr">
        <is>
          <t>GATEWAY-EDGE-PRO</t>
        </is>
      </c>
      <c r="I213" s="19" t="n">
        <v>890</v>
      </c>
      <c r="J213" s="20" t="n">
        <v>5</v>
      </c>
      <c r="K213" s="21" t="n">
        <v>0.05</v>
      </c>
      <c r="L213" s="19">
        <f>I213*J213</f>
        <v/>
      </c>
      <c r="M213" s="19">
        <f>L213*K213</f>
        <v/>
      </c>
      <c r="N213" s="19">
        <f>L213-M213</f>
        <v/>
      </c>
      <c r="O213" s="19" t="n">
        <v>520</v>
      </c>
      <c r="P213" s="19">
        <f>O213*J213</f>
        <v/>
      </c>
      <c r="Q213" s="19">
        <f>N213-P213</f>
        <v/>
      </c>
      <c r="R213" s="21">
        <f>Q213/N213</f>
        <v/>
      </c>
    </row>
    <row r="214">
      <c r="A214" s="9" t="inlineStr">
        <is>
          <t>TRX-2026-0213</t>
        </is>
      </c>
      <c r="B214" s="13" t="inlineStr">
        <is>
          <t>2026-01-07</t>
        </is>
      </c>
      <c r="C214" s="9" t="inlineStr">
        <is>
          <t>E-commerce</t>
        </is>
      </c>
      <c r="D214" s="9" t="inlineStr">
        <is>
          <t>Centro</t>
        </is>
      </c>
      <c r="E214" s="9" t="inlineStr">
        <is>
          <t>Alessandro Riva</t>
        </is>
      </c>
      <c r="F214" s="9" t="inlineStr">
        <is>
          <t>Enterprise</t>
        </is>
      </c>
      <c r="G214" s="9" t="inlineStr">
        <is>
          <t>Consulenza &amp; Setup</t>
        </is>
      </c>
      <c r="H214" s="9" t="inlineStr">
        <is>
          <t>SECURITY-AUDIT</t>
        </is>
      </c>
      <c r="I214" s="14" t="n">
        <v>2200</v>
      </c>
      <c r="J214" s="15" t="n">
        <v>2</v>
      </c>
      <c r="K214" s="16" t="n">
        <v>0.2</v>
      </c>
      <c r="L214" s="14">
        <f>I214*J214</f>
        <v/>
      </c>
      <c r="M214" s="14">
        <f>L214*K214</f>
        <v/>
      </c>
      <c r="N214" s="14">
        <f>L214-M214</f>
        <v/>
      </c>
      <c r="O214" s="14" t="n">
        <v>950</v>
      </c>
      <c r="P214" s="14">
        <f>O214*J214</f>
        <v/>
      </c>
      <c r="Q214" s="14">
        <f>N214-P214</f>
        <v/>
      </c>
      <c r="R214" s="16">
        <f>Q214/N214</f>
        <v/>
      </c>
    </row>
    <row r="215">
      <c r="A215" s="17" t="inlineStr">
        <is>
          <t>TRX-2026-0214</t>
        </is>
      </c>
      <c r="B215" s="18" t="inlineStr">
        <is>
          <t>2025-06-13</t>
        </is>
      </c>
      <c r="C215" s="17" t="inlineStr">
        <is>
          <t>B2B Diretto</t>
        </is>
      </c>
      <c r="D215" s="17" t="inlineStr">
        <is>
          <t>Centro</t>
        </is>
      </c>
      <c r="E215" s="17" t="inlineStr">
        <is>
          <t>Marco Rossi</t>
        </is>
      </c>
      <c r="F215" s="17" t="inlineStr">
        <is>
          <t>Enterprise</t>
        </is>
      </c>
      <c r="G215" s="17" t="inlineStr">
        <is>
          <t>Consulenza &amp; Setup</t>
        </is>
      </c>
      <c r="H215" s="17" t="inlineStr">
        <is>
          <t>TRAINING-ONBOARDING</t>
        </is>
      </c>
      <c r="I215" s="19" t="n">
        <v>800</v>
      </c>
      <c r="J215" s="20" t="n">
        <v>5</v>
      </c>
      <c r="K215" s="21" t="n">
        <v>0.1</v>
      </c>
      <c r="L215" s="19">
        <f>I215*J215</f>
        <v/>
      </c>
      <c r="M215" s="19">
        <f>L215*K215</f>
        <v/>
      </c>
      <c r="N215" s="19">
        <f>L215-M215</f>
        <v/>
      </c>
      <c r="O215" s="19" t="n">
        <v>350</v>
      </c>
      <c r="P215" s="19">
        <f>O215*J215</f>
        <v/>
      </c>
      <c r="Q215" s="19">
        <f>N215-P215</f>
        <v/>
      </c>
      <c r="R215" s="21">
        <f>Q215/N215</f>
        <v/>
      </c>
    </row>
    <row r="216">
      <c r="A216" s="9" t="inlineStr">
        <is>
          <t>TRX-2025-0215</t>
        </is>
      </c>
      <c r="B216" s="13" t="inlineStr">
        <is>
          <t>2025-08-09</t>
        </is>
      </c>
      <c r="C216" s="9" t="inlineStr">
        <is>
          <t>Partner / Retailer</t>
        </is>
      </c>
      <c r="D216" s="9" t="inlineStr">
        <is>
          <t>Centro</t>
        </is>
      </c>
      <c r="E216" s="9" t="inlineStr">
        <is>
          <t>Roberto Moretti</t>
        </is>
      </c>
      <c r="F216" s="9" t="inlineStr">
        <is>
          <t>PMI</t>
        </is>
      </c>
      <c r="G216" s="9" t="inlineStr">
        <is>
          <t>Cloud &amp; Software</t>
        </is>
      </c>
      <c r="H216" s="9" t="inlineStr">
        <is>
          <t>AI-AGENT-MODULE</t>
        </is>
      </c>
      <c r="I216" s="14" t="n">
        <v>750</v>
      </c>
      <c r="J216" s="15" t="n">
        <v>1</v>
      </c>
      <c r="K216" s="16" t="n">
        <v>0.1</v>
      </c>
      <c r="L216" s="14">
        <f>I216*J216</f>
        <v/>
      </c>
      <c r="M216" s="14">
        <f>L216*K216</f>
        <v/>
      </c>
      <c r="N216" s="14">
        <f>L216-M216</f>
        <v/>
      </c>
      <c r="O216" s="14" t="n">
        <v>180</v>
      </c>
      <c r="P216" s="14">
        <f>O216*J216</f>
        <v/>
      </c>
      <c r="Q216" s="14">
        <f>N216-P216</f>
        <v/>
      </c>
      <c r="R216" s="16">
        <f>Q216/N216</f>
        <v/>
      </c>
    </row>
    <row r="217">
      <c r="A217" s="17" t="inlineStr">
        <is>
          <t>TRX-2025-0216</t>
        </is>
      </c>
      <c r="B217" s="18" t="inlineStr">
        <is>
          <t>2025-09-20</t>
        </is>
      </c>
      <c r="C217" s="17" t="inlineStr">
        <is>
          <t>B2B Diretto</t>
        </is>
      </c>
      <c r="D217" s="17" t="inlineStr">
        <is>
          <t>Estero (EU)</t>
        </is>
      </c>
      <c r="E217" s="17" t="inlineStr">
        <is>
          <t>Giulia Bianchi</t>
        </is>
      </c>
      <c r="F217" s="17" t="inlineStr">
        <is>
          <t>PMI</t>
        </is>
      </c>
      <c r="G217" s="17" t="inlineStr">
        <is>
          <t>Cloud &amp; Software</t>
        </is>
      </c>
      <c r="H217" s="17" t="inlineStr">
        <is>
          <t>SaaS-PLATFORM-ENT</t>
        </is>
      </c>
      <c r="I217" s="19" t="n">
        <v>1200</v>
      </c>
      <c r="J217" s="20" t="n">
        <v>1</v>
      </c>
      <c r="K217" s="21" t="n">
        <v>0</v>
      </c>
      <c r="L217" s="19">
        <f>I217*J217</f>
        <v/>
      </c>
      <c r="M217" s="19">
        <f>L217*K217</f>
        <v/>
      </c>
      <c r="N217" s="19">
        <f>L217-M217</f>
        <v/>
      </c>
      <c r="O217" s="19" t="n">
        <v>320</v>
      </c>
      <c r="P217" s="19">
        <f>O217*J217</f>
        <v/>
      </c>
      <c r="Q217" s="19">
        <f>N217-P217</f>
        <v/>
      </c>
      <c r="R217" s="21">
        <f>Q217/N217</f>
        <v/>
      </c>
    </row>
    <row r="218">
      <c r="A218" s="9" t="inlineStr">
        <is>
          <t>TRX-2026-0217</t>
        </is>
      </c>
      <c r="B218" s="13" t="inlineStr">
        <is>
          <t>2025-04-27</t>
        </is>
      </c>
      <c r="C218" s="9" t="inlineStr">
        <is>
          <t>E-commerce</t>
        </is>
      </c>
      <c r="D218" s="9" t="inlineStr">
        <is>
          <t>Nord-Est</t>
        </is>
      </c>
      <c r="E218" s="9" t="inlineStr">
        <is>
          <t>Marco Rossi</t>
        </is>
      </c>
      <c r="F218" s="9" t="inlineStr">
        <is>
          <t>Pubblica Amministrazione</t>
        </is>
      </c>
      <c r="G218" s="9" t="inlineStr">
        <is>
          <t>Cloud &amp; Software</t>
        </is>
      </c>
      <c r="H218" s="9" t="inlineStr">
        <is>
          <t>AI-AGENT-MODULE</t>
        </is>
      </c>
      <c r="I218" s="14" t="n">
        <v>750</v>
      </c>
      <c r="J218" s="15" t="n">
        <v>2</v>
      </c>
      <c r="K218" s="16" t="n">
        <v>0.15</v>
      </c>
      <c r="L218" s="14">
        <f>I218*J218</f>
        <v/>
      </c>
      <c r="M218" s="14">
        <f>L218*K218</f>
        <v/>
      </c>
      <c r="N218" s="14">
        <f>L218-M218</f>
        <v/>
      </c>
      <c r="O218" s="14" t="n">
        <v>180</v>
      </c>
      <c r="P218" s="14">
        <f>O218*J218</f>
        <v/>
      </c>
      <c r="Q218" s="14">
        <f>N218-P218</f>
        <v/>
      </c>
      <c r="R218" s="16">
        <f>Q218/N218</f>
        <v/>
      </c>
    </row>
    <row r="219">
      <c r="A219" s="17" t="inlineStr">
        <is>
          <t>TRX-2026-0218</t>
        </is>
      </c>
      <c r="B219" s="18" t="inlineStr">
        <is>
          <t>2026-05-18</t>
        </is>
      </c>
      <c r="C219" s="17" t="inlineStr">
        <is>
          <t>E-commerce</t>
        </is>
      </c>
      <c r="D219" s="17" t="inlineStr">
        <is>
          <t>Centro</t>
        </is>
      </c>
      <c r="E219" s="17" t="inlineStr">
        <is>
          <t>Alessandro Riva</t>
        </is>
      </c>
      <c r="F219" s="17" t="inlineStr">
        <is>
          <t>Enterprise</t>
        </is>
      </c>
      <c r="G219" s="17" t="inlineStr">
        <is>
          <t>Cloud &amp; Software</t>
        </is>
      </c>
      <c r="H219" s="17" t="inlineStr">
        <is>
          <t>SaaS-PLATFORM-ENT</t>
        </is>
      </c>
      <c r="I219" s="19" t="n">
        <v>1200</v>
      </c>
      <c r="J219" s="20" t="n">
        <v>10</v>
      </c>
      <c r="K219" s="21" t="n">
        <v>0</v>
      </c>
      <c r="L219" s="19">
        <f>I219*J219</f>
        <v/>
      </c>
      <c r="M219" s="19">
        <f>L219*K219</f>
        <v/>
      </c>
      <c r="N219" s="19">
        <f>L219-M219</f>
        <v/>
      </c>
      <c r="O219" s="19" t="n">
        <v>320</v>
      </c>
      <c r="P219" s="19">
        <f>O219*J219</f>
        <v/>
      </c>
      <c r="Q219" s="19">
        <f>N219-P219</f>
        <v/>
      </c>
      <c r="R219" s="21">
        <f>Q219/N219</f>
        <v/>
      </c>
    </row>
    <row r="220">
      <c r="A220" s="9" t="inlineStr">
        <is>
          <t>TRX-2025-0219</t>
        </is>
      </c>
      <c r="B220" s="13" t="inlineStr">
        <is>
          <t>2026-07-16</t>
        </is>
      </c>
      <c r="C220" s="9" t="inlineStr">
        <is>
          <t>E-commerce</t>
        </is>
      </c>
      <c r="D220" s="9" t="inlineStr">
        <is>
          <t>Nord-Ovest</t>
        </is>
      </c>
      <c r="E220" s="9" t="inlineStr">
        <is>
          <t>Giulia Bianchi</t>
        </is>
      </c>
      <c r="F220" s="9" t="inlineStr">
        <is>
          <t>PMI</t>
        </is>
      </c>
      <c r="G220" s="9" t="inlineStr">
        <is>
          <t>Cloud &amp; Software</t>
        </is>
      </c>
      <c r="H220" s="9" t="inlineStr">
        <is>
          <t>AI-AGENT-MODULE</t>
        </is>
      </c>
      <c r="I220" s="14" t="n">
        <v>750</v>
      </c>
      <c r="J220" s="15" t="n">
        <v>15</v>
      </c>
      <c r="K220" s="16" t="n">
        <v>0</v>
      </c>
      <c r="L220" s="14">
        <f>I220*J220</f>
        <v/>
      </c>
      <c r="M220" s="14">
        <f>L220*K220</f>
        <v/>
      </c>
      <c r="N220" s="14">
        <f>L220-M220</f>
        <v/>
      </c>
      <c r="O220" s="14" t="n">
        <v>180</v>
      </c>
      <c r="P220" s="14">
        <f>O220*J220</f>
        <v/>
      </c>
      <c r="Q220" s="14">
        <f>N220-P220</f>
        <v/>
      </c>
      <c r="R220" s="16">
        <f>Q220/N220</f>
        <v/>
      </c>
    </row>
    <row r="221">
      <c r="A221" s="17" t="inlineStr">
        <is>
          <t>TRX-2026-0220</t>
        </is>
      </c>
      <c r="B221" s="18" t="inlineStr">
        <is>
          <t>2026-06-06</t>
        </is>
      </c>
      <c r="C221" s="17" t="inlineStr">
        <is>
          <t>B2B Diretto</t>
        </is>
      </c>
      <c r="D221" s="17" t="inlineStr">
        <is>
          <t>Centro</t>
        </is>
      </c>
      <c r="E221" s="17" t="inlineStr">
        <is>
          <t>Marco Rossi</t>
        </is>
      </c>
      <c r="F221" s="17" t="inlineStr">
        <is>
          <t>Enterprise</t>
        </is>
      </c>
      <c r="G221" s="17" t="inlineStr">
        <is>
          <t>Cloud &amp; Software</t>
        </is>
      </c>
      <c r="H221" s="17" t="inlineStr">
        <is>
          <t>SaaS-CORE-SMB</t>
        </is>
      </c>
      <c r="I221" s="19" t="n">
        <v>450</v>
      </c>
      <c r="J221" s="20" t="n">
        <v>10</v>
      </c>
      <c r="K221" s="21" t="n">
        <v>0</v>
      </c>
      <c r="L221" s="19">
        <f>I221*J221</f>
        <v/>
      </c>
      <c r="M221" s="19">
        <f>L221*K221</f>
        <v/>
      </c>
      <c r="N221" s="19">
        <f>L221-M221</f>
        <v/>
      </c>
      <c r="O221" s="19" t="n">
        <v>110</v>
      </c>
      <c r="P221" s="19">
        <f>O221*J221</f>
        <v/>
      </c>
      <c r="Q221" s="19">
        <f>N221-P221</f>
        <v/>
      </c>
      <c r="R221" s="21">
        <f>Q221/N221</f>
        <v/>
      </c>
    </row>
    <row r="222">
      <c r="A222" s="9" t="inlineStr">
        <is>
          <t>TRX-2026-0221</t>
        </is>
      </c>
      <c r="B222" s="13" t="inlineStr">
        <is>
          <t>2026-07-25</t>
        </is>
      </c>
      <c r="C222" s="9" t="inlineStr">
        <is>
          <t>E-commerce</t>
        </is>
      </c>
      <c r="D222" s="9" t="inlineStr">
        <is>
          <t>Nord-Est</t>
        </is>
      </c>
      <c r="E222" s="9" t="inlineStr">
        <is>
          <t>Roberto Moretti</t>
        </is>
      </c>
      <c r="F222" s="9" t="inlineStr">
        <is>
          <t>PMI</t>
        </is>
      </c>
      <c r="G222" s="9" t="inlineStr">
        <is>
          <t>Hardware &amp; IoT</t>
        </is>
      </c>
      <c r="H222" s="9" t="inlineStr">
        <is>
          <t>GATEWAY-EDGE-PRO</t>
        </is>
      </c>
      <c r="I222" s="14" t="n">
        <v>890</v>
      </c>
      <c r="J222" s="15" t="n">
        <v>8</v>
      </c>
      <c r="K222" s="16" t="n">
        <v>0</v>
      </c>
      <c r="L222" s="14">
        <f>I222*J222</f>
        <v/>
      </c>
      <c r="M222" s="14">
        <f>L222*K222</f>
        <v/>
      </c>
      <c r="N222" s="14">
        <f>L222-M222</f>
        <v/>
      </c>
      <c r="O222" s="14" t="n">
        <v>520</v>
      </c>
      <c r="P222" s="14">
        <f>O222*J222</f>
        <v/>
      </c>
      <c r="Q222" s="14">
        <f>N222-P222</f>
        <v/>
      </c>
      <c r="R222" s="16">
        <f>Q222/N222</f>
        <v/>
      </c>
    </row>
    <row r="223">
      <c r="A223" s="17" t="inlineStr">
        <is>
          <t>TRX-2026-0222</t>
        </is>
      </c>
      <c r="B223" s="18" t="inlineStr">
        <is>
          <t>2025-10-05</t>
        </is>
      </c>
      <c r="C223" s="17" t="inlineStr">
        <is>
          <t>E-commerce</t>
        </is>
      </c>
      <c r="D223" s="17" t="inlineStr">
        <is>
          <t>Nord-Ovest</t>
        </is>
      </c>
      <c r="E223" s="17" t="inlineStr">
        <is>
          <t>Alessandro Riva</t>
        </is>
      </c>
      <c r="F223" s="17" t="inlineStr">
        <is>
          <t>Professionisti / SOHO</t>
        </is>
      </c>
      <c r="G223" s="17" t="inlineStr">
        <is>
          <t>Hardware &amp; IoT</t>
        </is>
      </c>
      <c r="H223" s="17" t="inlineStr">
        <is>
          <t>GATEWAY-EDGE-PRO</t>
        </is>
      </c>
      <c r="I223" s="19" t="n">
        <v>890</v>
      </c>
      <c r="J223" s="20" t="n">
        <v>1</v>
      </c>
      <c r="K223" s="21" t="n">
        <v>0.15</v>
      </c>
      <c r="L223" s="19">
        <f>I223*J223</f>
        <v/>
      </c>
      <c r="M223" s="19">
        <f>L223*K223</f>
        <v/>
      </c>
      <c r="N223" s="19">
        <f>L223-M223</f>
        <v/>
      </c>
      <c r="O223" s="19" t="n">
        <v>520</v>
      </c>
      <c r="P223" s="19">
        <f>O223*J223</f>
        <v/>
      </c>
      <c r="Q223" s="19">
        <f>N223-P223</f>
        <v/>
      </c>
      <c r="R223" s="21">
        <f>Q223/N223</f>
        <v/>
      </c>
    </row>
    <row r="224">
      <c r="A224" s="9" t="inlineStr">
        <is>
          <t>TRX-2026-0223</t>
        </is>
      </c>
      <c r="B224" s="13" t="inlineStr">
        <is>
          <t>2026-03-28</t>
        </is>
      </c>
      <c r="C224" s="9" t="inlineStr">
        <is>
          <t>E-commerce</t>
        </is>
      </c>
      <c r="D224" s="9" t="inlineStr">
        <is>
          <t>Nord-Ovest</t>
        </is>
      </c>
      <c r="E224" s="9" t="inlineStr">
        <is>
          <t>Elena Conti</t>
        </is>
      </c>
      <c r="F224" s="9" t="inlineStr">
        <is>
          <t>PMI</t>
        </is>
      </c>
      <c r="G224" s="9" t="inlineStr">
        <is>
          <t>Cloud &amp; Software</t>
        </is>
      </c>
      <c r="H224" s="9" t="inlineStr">
        <is>
          <t>AI-AGENT-MODULE</t>
        </is>
      </c>
      <c r="I224" s="14" t="n">
        <v>750</v>
      </c>
      <c r="J224" s="15" t="n">
        <v>20</v>
      </c>
      <c r="K224" s="16" t="n">
        <v>0.05</v>
      </c>
      <c r="L224" s="14">
        <f>I224*J224</f>
        <v/>
      </c>
      <c r="M224" s="14">
        <f>L224*K224</f>
        <v/>
      </c>
      <c r="N224" s="14">
        <f>L224-M224</f>
        <v/>
      </c>
      <c r="O224" s="14" t="n">
        <v>180</v>
      </c>
      <c r="P224" s="14">
        <f>O224*J224</f>
        <v/>
      </c>
      <c r="Q224" s="14">
        <f>N224-P224</f>
        <v/>
      </c>
      <c r="R224" s="16">
        <f>Q224/N224</f>
        <v/>
      </c>
    </row>
    <row r="225">
      <c r="A225" s="17" t="inlineStr">
        <is>
          <t>TRX-2025-0224</t>
        </is>
      </c>
      <c r="B225" s="18" t="inlineStr">
        <is>
          <t>2025-01-21</t>
        </is>
      </c>
      <c r="C225" s="17" t="inlineStr">
        <is>
          <t>B2B Diretto</t>
        </is>
      </c>
      <c r="D225" s="17" t="inlineStr">
        <is>
          <t>Nord-Est</t>
        </is>
      </c>
      <c r="E225" s="17" t="inlineStr">
        <is>
          <t>Elena Conti</t>
        </is>
      </c>
      <c r="F225" s="17" t="inlineStr">
        <is>
          <t>Professionisti / SOHO</t>
        </is>
      </c>
      <c r="G225" s="17" t="inlineStr">
        <is>
          <t>Hardware &amp; IoT</t>
        </is>
      </c>
      <c r="H225" s="17" t="inlineStr">
        <is>
          <t>TERMINAL-SMART-V2</t>
        </is>
      </c>
      <c r="I225" s="19" t="n">
        <v>640</v>
      </c>
      <c r="J225" s="20" t="n">
        <v>2</v>
      </c>
      <c r="K225" s="21" t="n">
        <v>0.1</v>
      </c>
      <c r="L225" s="19">
        <f>I225*J225</f>
        <v/>
      </c>
      <c r="M225" s="19">
        <f>L225*K225</f>
        <v/>
      </c>
      <c r="N225" s="19">
        <f>L225-M225</f>
        <v/>
      </c>
      <c r="O225" s="19" t="n">
        <v>380</v>
      </c>
      <c r="P225" s="19">
        <f>O225*J225</f>
        <v/>
      </c>
      <c r="Q225" s="19">
        <f>N225-P225</f>
        <v/>
      </c>
      <c r="R225" s="21">
        <f>Q225/N225</f>
        <v/>
      </c>
    </row>
    <row r="226">
      <c r="A226" s="9" t="inlineStr">
        <is>
          <t>TRX-2025-0225</t>
        </is>
      </c>
      <c r="B226" s="13" t="inlineStr">
        <is>
          <t>2025-10-09</t>
        </is>
      </c>
      <c r="C226" s="9" t="inlineStr">
        <is>
          <t>E-commerce</t>
        </is>
      </c>
      <c r="D226" s="9" t="inlineStr">
        <is>
          <t>Nord-Est</t>
        </is>
      </c>
      <c r="E226" s="9" t="inlineStr">
        <is>
          <t>Marco Rossi</t>
        </is>
      </c>
      <c r="F226" s="9" t="inlineStr">
        <is>
          <t>PMI</t>
        </is>
      </c>
      <c r="G226" s="9" t="inlineStr">
        <is>
          <t>Consulenza &amp; Setup</t>
        </is>
      </c>
      <c r="H226" s="9" t="inlineStr">
        <is>
          <t>TRAINING-ONBOARDING</t>
        </is>
      </c>
      <c r="I226" s="14" t="n">
        <v>800</v>
      </c>
      <c r="J226" s="15" t="n">
        <v>2</v>
      </c>
      <c r="K226" s="16" t="n">
        <v>0.05</v>
      </c>
      <c r="L226" s="14">
        <f>I226*J226</f>
        <v/>
      </c>
      <c r="M226" s="14">
        <f>L226*K226</f>
        <v/>
      </c>
      <c r="N226" s="14">
        <f>L226-M226</f>
        <v/>
      </c>
      <c r="O226" s="14" t="n">
        <v>350</v>
      </c>
      <c r="P226" s="14">
        <f>O226*J226</f>
        <v/>
      </c>
      <c r="Q226" s="14">
        <f>N226-P226</f>
        <v/>
      </c>
      <c r="R226" s="16">
        <f>Q226/N226</f>
        <v/>
      </c>
    </row>
    <row r="227">
      <c r="A227" s="17" t="inlineStr">
        <is>
          <t>TRX-2026-0226</t>
        </is>
      </c>
      <c r="B227" s="18" t="inlineStr">
        <is>
          <t>2025-05-15</t>
        </is>
      </c>
      <c r="C227" s="17" t="inlineStr">
        <is>
          <t>E-commerce</t>
        </is>
      </c>
      <c r="D227" s="17" t="inlineStr">
        <is>
          <t>Centro</t>
        </is>
      </c>
      <c r="E227" s="17" t="inlineStr">
        <is>
          <t>Alessandro Riva</t>
        </is>
      </c>
      <c r="F227" s="17" t="inlineStr">
        <is>
          <t>PMI</t>
        </is>
      </c>
      <c r="G227" s="17" t="inlineStr">
        <is>
          <t>Hardware &amp; IoT</t>
        </is>
      </c>
      <c r="H227" s="17" t="inlineStr">
        <is>
          <t>GATEWAY-EDGE-PRO</t>
        </is>
      </c>
      <c r="I227" s="19" t="n">
        <v>890</v>
      </c>
      <c r="J227" s="20" t="n">
        <v>15</v>
      </c>
      <c r="K227" s="21" t="n">
        <v>0.05</v>
      </c>
      <c r="L227" s="19">
        <f>I227*J227</f>
        <v/>
      </c>
      <c r="M227" s="19">
        <f>L227*K227</f>
        <v/>
      </c>
      <c r="N227" s="19">
        <f>L227-M227</f>
        <v/>
      </c>
      <c r="O227" s="19" t="n">
        <v>520</v>
      </c>
      <c r="P227" s="19">
        <f>O227*J227</f>
        <v/>
      </c>
      <c r="Q227" s="19">
        <f>N227-P227</f>
        <v/>
      </c>
      <c r="R227" s="21">
        <f>Q227/N227</f>
        <v/>
      </c>
    </row>
    <row r="228">
      <c r="A228" s="9" t="inlineStr">
        <is>
          <t>TRX-2026-0227</t>
        </is>
      </c>
      <c r="B228" s="13" t="inlineStr">
        <is>
          <t>2026-02-01</t>
        </is>
      </c>
      <c r="C228" s="9" t="inlineStr">
        <is>
          <t>B2B Diretto</t>
        </is>
      </c>
      <c r="D228" s="9" t="inlineStr">
        <is>
          <t>Estero (EU)</t>
        </is>
      </c>
      <c r="E228" s="9" t="inlineStr">
        <is>
          <t>Elena Conti</t>
        </is>
      </c>
      <c r="F228" s="9" t="inlineStr">
        <is>
          <t>Professionisti / SOHO</t>
        </is>
      </c>
      <c r="G228" s="9" t="inlineStr">
        <is>
          <t>Hardware &amp; IoT</t>
        </is>
      </c>
      <c r="H228" s="9" t="inlineStr">
        <is>
          <t>GATEWAY-EDGE-PRO</t>
        </is>
      </c>
      <c r="I228" s="14" t="n">
        <v>890</v>
      </c>
      <c r="J228" s="15" t="n">
        <v>8</v>
      </c>
      <c r="K228" s="16" t="n">
        <v>0.1</v>
      </c>
      <c r="L228" s="14">
        <f>I228*J228</f>
        <v/>
      </c>
      <c r="M228" s="14">
        <f>L228*K228</f>
        <v/>
      </c>
      <c r="N228" s="14">
        <f>L228-M228</f>
        <v/>
      </c>
      <c r="O228" s="14" t="n">
        <v>520</v>
      </c>
      <c r="P228" s="14">
        <f>O228*J228</f>
        <v/>
      </c>
      <c r="Q228" s="14">
        <f>N228-P228</f>
        <v/>
      </c>
      <c r="R228" s="16">
        <f>Q228/N228</f>
        <v/>
      </c>
    </row>
    <row r="229">
      <c r="A229" s="17" t="inlineStr">
        <is>
          <t>TRX-2025-0228</t>
        </is>
      </c>
      <c r="B229" s="18" t="inlineStr">
        <is>
          <t>2026-07-07</t>
        </is>
      </c>
      <c r="C229" s="17" t="inlineStr">
        <is>
          <t>B2B Diretto</t>
        </is>
      </c>
      <c r="D229" s="17" t="inlineStr">
        <is>
          <t>Centro</t>
        </is>
      </c>
      <c r="E229" s="17" t="inlineStr">
        <is>
          <t>Marco Rossi</t>
        </is>
      </c>
      <c r="F229" s="17" t="inlineStr">
        <is>
          <t>Pubblica Amministrazione</t>
        </is>
      </c>
      <c r="G229" s="17" t="inlineStr">
        <is>
          <t>Cloud &amp; Software</t>
        </is>
      </c>
      <c r="H229" s="17" t="inlineStr">
        <is>
          <t>SaaS-CORE-SMB</t>
        </is>
      </c>
      <c r="I229" s="19" t="n">
        <v>450</v>
      </c>
      <c r="J229" s="20" t="n">
        <v>1</v>
      </c>
      <c r="K229" s="21" t="n">
        <v>0.05</v>
      </c>
      <c r="L229" s="19">
        <f>I229*J229</f>
        <v/>
      </c>
      <c r="M229" s="19">
        <f>L229*K229</f>
        <v/>
      </c>
      <c r="N229" s="19">
        <f>L229-M229</f>
        <v/>
      </c>
      <c r="O229" s="19" t="n">
        <v>110</v>
      </c>
      <c r="P229" s="19">
        <f>O229*J229</f>
        <v/>
      </c>
      <c r="Q229" s="19">
        <f>N229-P229</f>
        <v/>
      </c>
      <c r="R229" s="21">
        <f>Q229/N229</f>
        <v/>
      </c>
    </row>
    <row r="230">
      <c r="A230" s="9" t="inlineStr">
        <is>
          <t>TRX-2025-0229</t>
        </is>
      </c>
      <c r="B230" s="13" t="inlineStr">
        <is>
          <t>2026-08-24</t>
        </is>
      </c>
      <c r="C230" s="9" t="inlineStr">
        <is>
          <t>E-commerce</t>
        </is>
      </c>
      <c r="D230" s="9" t="inlineStr">
        <is>
          <t>Nord-Est</t>
        </is>
      </c>
      <c r="E230" s="9" t="inlineStr">
        <is>
          <t>Alessandro Riva</t>
        </is>
      </c>
      <c r="F230" s="9" t="inlineStr">
        <is>
          <t>Professionisti / SOHO</t>
        </is>
      </c>
      <c r="G230" s="9" t="inlineStr">
        <is>
          <t>Consulenza &amp; Setup</t>
        </is>
      </c>
      <c r="H230" s="9" t="inlineStr">
        <is>
          <t>TRAINING-ONBOARDING</t>
        </is>
      </c>
      <c r="I230" s="14" t="n">
        <v>800</v>
      </c>
      <c r="J230" s="15" t="n">
        <v>1</v>
      </c>
      <c r="K230" s="16" t="n">
        <v>0</v>
      </c>
      <c r="L230" s="14">
        <f>I230*J230</f>
        <v/>
      </c>
      <c r="M230" s="14">
        <f>L230*K230</f>
        <v/>
      </c>
      <c r="N230" s="14">
        <f>L230-M230</f>
        <v/>
      </c>
      <c r="O230" s="14" t="n">
        <v>350</v>
      </c>
      <c r="P230" s="14">
        <f>O230*J230</f>
        <v/>
      </c>
      <c r="Q230" s="14">
        <f>N230-P230</f>
        <v/>
      </c>
      <c r="R230" s="16">
        <f>Q230/N230</f>
        <v/>
      </c>
    </row>
    <row r="231">
      <c r="A231" s="17" t="inlineStr">
        <is>
          <t>TRX-2026-0230</t>
        </is>
      </c>
      <c r="B231" s="18" t="inlineStr">
        <is>
          <t>2025-04-18</t>
        </is>
      </c>
      <c r="C231" s="17" t="inlineStr">
        <is>
          <t>Partner / Retailer</t>
        </is>
      </c>
      <c r="D231" s="17" t="inlineStr">
        <is>
          <t>Sud &amp; Isole</t>
        </is>
      </c>
      <c r="E231" s="17" t="inlineStr">
        <is>
          <t>Marco Rossi</t>
        </is>
      </c>
      <c r="F231" s="17" t="inlineStr">
        <is>
          <t>PMI</t>
        </is>
      </c>
      <c r="G231" s="17" t="inlineStr">
        <is>
          <t>Consulenza &amp; Setup</t>
        </is>
      </c>
      <c r="H231" s="17" t="inlineStr">
        <is>
          <t>SECURITY-AUDIT</t>
        </is>
      </c>
      <c r="I231" s="19" t="n">
        <v>2200</v>
      </c>
      <c r="J231" s="20" t="n">
        <v>2</v>
      </c>
      <c r="K231" s="21" t="n">
        <v>0.05</v>
      </c>
      <c r="L231" s="19">
        <f>I231*J231</f>
        <v/>
      </c>
      <c r="M231" s="19">
        <f>L231*K231</f>
        <v/>
      </c>
      <c r="N231" s="19">
        <f>L231-M231</f>
        <v/>
      </c>
      <c r="O231" s="19" t="n">
        <v>950</v>
      </c>
      <c r="P231" s="19">
        <f>O231*J231</f>
        <v/>
      </c>
      <c r="Q231" s="19">
        <f>N231-P231</f>
        <v/>
      </c>
      <c r="R231" s="21">
        <f>Q231/N231</f>
        <v/>
      </c>
    </row>
    <row r="232">
      <c r="A232" s="9" t="inlineStr">
        <is>
          <t>TRX-2026-0231</t>
        </is>
      </c>
      <c r="B232" s="13" t="inlineStr">
        <is>
          <t>2025-11-26</t>
        </is>
      </c>
      <c r="C232" s="9" t="inlineStr">
        <is>
          <t>E-commerce</t>
        </is>
      </c>
      <c r="D232" s="9" t="inlineStr">
        <is>
          <t>Sud &amp; Isole</t>
        </is>
      </c>
      <c r="E232" s="9" t="inlineStr">
        <is>
          <t>Alessandro Riva</t>
        </is>
      </c>
      <c r="F232" s="9" t="inlineStr">
        <is>
          <t>Professionisti / SOHO</t>
        </is>
      </c>
      <c r="G232" s="9" t="inlineStr">
        <is>
          <t>Hardware &amp; IoT</t>
        </is>
      </c>
      <c r="H232" s="9" t="inlineStr">
        <is>
          <t>GATEWAY-EDGE-PRO</t>
        </is>
      </c>
      <c r="I232" s="14" t="n">
        <v>890</v>
      </c>
      <c r="J232" s="15" t="n">
        <v>3</v>
      </c>
      <c r="K232" s="16" t="n">
        <v>0</v>
      </c>
      <c r="L232" s="14">
        <f>I232*J232</f>
        <v/>
      </c>
      <c r="M232" s="14">
        <f>L232*K232</f>
        <v/>
      </c>
      <c r="N232" s="14">
        <f>L232-M232</f>
        <v/>
      </c>
      <c r="O232" s="14" t="n">
        <v>520</v>
      </c>
      <c r="P232" s="14">
        <f>O232*J232</f>
        <v/>
      </c>
      <c r="Q232" s="14">
        <f>N232-P232</f>
        <v/>
      </c>
      <c r="R232" s="16">
        <f>Q232/N232</f>
        <v/>
      </c>
    </row>
    <row r="233">
      <c r="A233" s="17" t="inlineStr">
        <is>
          <t>TRX-2026-0232</t>
        </is>
      </c>
      <c r="B233" s="18" t="inlineStr">
        <is>
          <t>2025-03-21</t>
        </is>
      </c>
      <c r="C233" s="17" t="inlineStr">
        <is>
          <t>E-commerce</t>
        </is>
      </c>
      <c r="D233" s="17" t="inlineStr">
        <is>
          <t>Nord-Ovest</t>
        </is>
      </c>
      <c r="E233" s="17" t="inlineStr">
        <is>
          <t>Marco Rossi</t>
        </is>
      </c>
      <c r="F233" s="17" t="inlineStr">
        <is>
          <t>Pubblica Amministrazione</t>
        </is>
      </c>
      <c r="G233" s="17" t="inlineStr">
        <is>
          <t>Consulenza &amp; Setup</t>
        </is>
      </c>
      <c r="H233" s="17" t="inlineStr">
        <is>
          <t>TRAINING-ONBOARDING</t>
        </is>
      </c>
      <c r="I233" s="19" t="n">
        <v>800</v>
      </c>
      <c r="J233" s="20" t="n">
        <v>1</v>
      </c>
      <c r="K233" s="21" t="n">
        <v>0.05</v>
      </c>
      <c r="L233" s="19">
        <f>I233*J233</f>
        <v/>
      </c>
      <c r="M233" s="19">
        <f>L233*K233</f>
        <v/>
      </c>
      <c r="N233" s="19">
        <f>L233-M233</f>
        <v/>
      </c>
      <c r="O233" s="19" t="n">
        <v>350</v>
      </c>
      <c r="P233" s="19">
        <f>O233*J233</f>
        <v/>
      </c>
      <c r="Q233" s="19">
        <f>N233-P233</f>
        <v/>
      </c>
      <c r="R233" s="21">
        <f>Q233/N233</f>
        <v/>
      </c>
    </row>
    <row r="234">
      <c r="A234" s="9" t="inlineStr">
        <is>
          <t>TRX-2025-0233</t>
        </is>
      </c>
      <c r="B234" s="13" t="inlineStr">
        <is>
          <t>2026-03-21</t>
        </is>
      </c>
      <c r="C234" s="9" t="inlineStr">
        <is>
          <t>B2B Diretto</t>
        </is>
      </c>
      <c r="D234" s="9" t="inlineStr">
        <is>
          <t>Sud &amp; Isole</t>
        </is>
      </c>
      <c r="E234" s="9" t="inlineStr">
        <is>
          <t>Elena Conti</t>
        </is>
      </c>
      <c r="F234" s="9" t="inlineStr">
        <is>
          <t>Professionisti / SOHO</t>
        </is>
      </c>
      <c r="G234" s="9" t="inlineStr">
        <is>
          <t>Consulenza &amp; Setup</t>
        </is>
      </c>
      <c r="H234" s="9" t="inlineStr">
        <is>
          <t>SETUP-INTEGRATION</t>
        </is>
      </c>
      <c r="I234" s="14" t="n">
        <v>1500</v>
      </c>
      <c r="J234" s="15" t="n">
        <v>2</v>
      </c>
      <c r="K234" s="16" t="n">
        <v>0.1</v>
      </c>
      <c r="L234" s="14">
        <f>I234*J234</f>
        <v/>
      </c>
      <c r="M234" s="14">
        <f>L234*K234</f>
        <v/>
      </c>
      <c r="N234" s="14">
        <f>L234-M234</f>
        <v/>
      </c>
      <c r="O234" s="14" t="n">
        <v>650</v>
      </c>
      <c r="P234" s="14">
        <f>O234*J234</f>
        <v/>
      </c>
      <c r="Q234" s="14">
        <f>N234-P234</f>
        <v/>
      </c>
      <c r="R234" s="16">
        <f>Q234/N234</f>
        <v/>
      </c>
    </row>
    <row r="235">
      <c r="A235" s="17" t="inlineStr">
        <is>
          <t>TRX-2025-0234</t>
        </is>
      </c>
      <c r="B235" s="18" t="inlineStr">
        <is>
          <t>2026-01-06</t>
        </is>
      </c>
      <c r="C235" s="17" t="inlineStr">
        <is>
          <t>B2B Diretto</t>
        </is>
      </c>
      <c r="D235" s="17" t="inlineStr">
        <is>
          <t>Estero (EU)</t>
        </is>
      </c>
      <c r="E235" s="17" t="inlineStr">
        <is>
          <t>Elena Conti</t>
        </is>
      </c>
      <c r="F235" s="17" t="inlineStr">
        <is>
          <t>PMI</t>
        </is>
      </c>
      <c r="G235" s="17" t="inlineStr">
        <is>
          <t>Hardware &amp; IoT</t>
        </is>
      </c>
      <c r="H235" s="17" t="inlineStr">
        <is>
          <t>GATEWAY-EDGE-PRO</t>
        </is>
      </c>
      <c r="I235" s="19" t="n">
        <v>890</v>
      </c>
      <c r="J235" s="20" t="n">
        <v>8</v>
      </c>
      <c r="K235" s="21" t="n">
        <v>0.1</v>
      </c>
      <c r="L235" s="19">
        <f>I235*J235</f>
        <v/>
      </c>
      <c r="M235" s="19">
        <f>L235*K235</f>
        <v/>
      </c>
      <c r="N235" s="19">
        <f>L235-M235</f>
        <v/>
      </c>
      <c r="O235" s="19" t="n">
        <v>520</v>
      </c>
      <c r="P235" s="19">
        <f>O235*J235</f>
        <v/>
      </c>
      <c r="Q235" s="19">
        <f>N235-P235</f>
        <v/>
      </c>
      <c r="R235" s="21">
        <f>Q235/N235</f>
        <v/>
      </c>
    </row>
    <row r="236">
      <c r="A236" s="9" t="inlineStr">
        <is>
          <t>TRX-2026-0235</t>
        </is>
      </c>
      <c r="B236" s="13" t="inlineStr">
        <is>
          <t>2026-05-04</t>
        </is>
      </c>
      <c r="C236" s="9" t="inlineStr">
        <is>
          <t>E-commerce</t>
        </is>
      </c>
      <c r="D236" s="9" t="inlineStr">
        <is>
          <t>Estero (EU)</t>
        </is>
      </c>
      <c r="E236" s="9" t="inlineStr">
        <is>
          <t>Elena Conti</t>
        </is>
      </c>
      <c r="F236" s="9" t="inlineStr">
        <is>
          <t>PMI</t>
        </is>
      </c>
      <c r="G236" s="9" t="inlineStr">
        <is>
          <t>Hardware &amp; IoT</t>
        </is>
      </c>
      <c r="H236" s="9" t="inlineStr">
        <is>
          <t>GATEWAY-EDGE-PRO</t>
        </is>
      </c>
      <c r="I236" s="14" t="n">
        <v>890</v>
      </c>
      <c r="J236" s="15" t="n">
        <v>1</v>
      </c>
      <c r="K236" s="16" t="n">
        <v>0</v>
      </c>
      <c r="L236" s="14">
        <f>I236*J236</f>
        <v/>
      </c>
      <c r="M236" s="14">
        <f>L236*K236</f>
        <v/>
      </c>
      <c r="N236" s="14">
        <f>L236-M236</f>
        <v/>
      </c>
      <c r="O236" s="14" t="n">
        <v>520</v>
      </c>
      <c r="P236" s="14">
        <f>O236*J236</f>
        <v/>
      </c>
      <c r="Q236" s="14">
        <f>N236-P236</f>
        <v/>
      </c>
      <c r="R236" s="16">
        <f>Q236/N236</f>
        <v/>
      </c>
    </row>
    <row r="237">
      <c r="A237" s="17" t="inlineStr">
        <is>
          <t>TRX-2026-0236</t>
        </is>
      </c>
      <c r="B237" s="18" t="inlineStr">
        <is>
          <t>2025-07-27</t>
        </is>
      </c>
      <c r="C237" s="17" t="inlineStr">
        <is>
          <t>Partner / Retailer</t>
        </is>
      </c>
      <c r="D237" s="17" t="inlineStr">
        <is>
          <t>Nord-Ovest</t>
        </is>
      </c>
      <c r="E237" s="17" t="inlineStr">
        <is>
          <t>Marco Rossi</t>
        </is>
      </c>
      <c r="F237" s="17" t="inlineStr">
        <is>
          <t>Professionisti / SOHO</t>
        </is>
      </c>
      <c r="G237" s="17" t="inlineStr">
        <is>
          <t>Consulenza &amp; Setup</t>
        </is>
      </c>
      <c r="H237" s="17" t="inlineStr">
        <is>
          <t>SETUP-INTEGRATION</t>
        </is>
      </c>
      <c r="I237" s="19" t="n">
        <v>1500</v>
      </c>
      <c r="J237" s="20" t="n">
        <v>5</v>
      </c>
      <c r="K237" s="21" t="n">
        <v>0.15</v>
      </c>
      <c r="L237" s="19">
        <f>I237*J237</f>
        <v/>
      </c>
      <c r="M237" s="19">
        <f>L237*K237</f>
        <v/>
      </c>
      <c r="N237" s="19">
        <f>L237-M237</f>
        <v/>
      </c>
      <c r="O237" s="19" t="n">
        <v>650</v>
      </c>
      <c r="P237" s="19">
        <f>O237*J237</f>
        <v/>
      </c>
      <c r="Q237" s="19">
        <f>N237-P237</f>
        <v/>
      </c>
      <c r="R237" s="21">
        <f>Q237/N237</f>
        <v/>
      </c>
    </row>
    <row r="238">
      <c r="A238" s="9" t="inlineStr">
        <is>
          <t>TRX-2025-0237</t>
        </is>
      </c>
      <c r="B238" s="13" t="inlineStr">
        <is>
          <t>2025-09-18</t>
        </is>
      </c>
      <c r="C238" s="9" t="inlineStr">
        <is>
          <t>B2B Diretto</t>
        </is>
      </c>
      <c r="D238" s="9" t="inlineStr">
        <is>
          <t>Nord-Ovest</t>
        </is>
      </c>
      <c r="E238" s="9" t="inlineStr">
        <is>
          <t>Roberto Moretti</t>
        </is>
      </c>
      <c r="F238" s="9" t="inlineStr">
        <is>
          <t>Enterprise</t>
        </is>
      </c>
      <c r="G238" s="9" t="inlineStr">
        <is>
          <t>Cloud &amp; Software</t>
        </is>
      </c>
      <c r="H238" s="9" t="inlineStr">
        <is>
          <t>SaaS-PLATFORM-ENT</t>
        </is>
      </c>
      <c r="I238" s="14" t="n">
        <v>1200</v>
      </c>
      <c r="J238" s="15" t="n">
        <v>1</v>
      </c>
      <c r="K238" s="16" t="n">
        <v>0</v>
      </c>
      <c r="L238" s="14">
        <f>I238*J238</f>
        <v/>
      </c>
      <c r="M238" s="14">
        <f>L238*K238</f>
        <v/>
      </c>
      <c r="N238" s="14">
        <f>L238-M238</f>
        <v/>
      </c>
      <c r="O238" s="14" t="n">
        <v>320</v>
      </c>
      <c r="P238" s="14">
        <f>O238*J238</f>
        <v/>
      </c>
      <c r="Q238" s="14">
        <f>N238-P238</f>
        <v/>
      </c>
      <c r="R238" s="16">
        <f>Q238/N238</f>
        <v/>
      </c>
    </row>
    <row r="239">
      <c r="A239" s="17" t="inlineStr">
        <is>
          <t>TRX-2026-0238</t>
        </is>
      </c>
      <c r="B239" s="18" t="inlineStr">
        <is>
          <t>2025-09-11</t>
        </is>
      </c>
      <c r="C239" s="17" t="inlineStr">
        <is>
          <t>E-commerce</t>
        </is>
      </c>
      <c r="D239" s="17" t="inlineStr">
        <is>
          <t>Nord-Ovest</t>
        </is>
      </c>
      <c r="E239" s="17" t="inlineStr">
        <is>
          <t>Giulia Bianchi</t>
        </is>
      </c>
      <c r="F239" s="17" t="inlineStr">
        <is>
          <t>PMI</t>
        </is>
      </c>
      <c r="G239" s="17" t="inlineStr">
        <is>
          <t>Hardware &amp; IoT</t>
        </is>
      </c>
      <c r="H239" s="17" t="inlineStr">
        <is>
          <t>SENSOR-IOT-PACK</t>
        </is>
      </c>
      <c r="I239" s="19" t="n">
        <v>290</v>
      </c>
      <c r="J239" s="20" t="n">
        <v>1</v>
      </c>
      <c r="K239" s="21" t="n">
        <v>0.15</v>
      </c>
      <c r="L239" s="19">
        <f>I239*J239</f>
        <v/>
      </c>
      <c r="M239" s="19">
        <f>L239*K239</f>
        <v/>
      </c>
      <c r="N239" s="19">
        <f>L239-M239</f>
        <v/>
      </c>
      <c r="O239" s="19" t="n">
        <v>140</v>
      </c>
      <c r="P239" s="19">
        <f>O239*J239</f>
        <v/>
      </c>
      <c r="Q239" s="19">
        <f>N239-P239</f>
        <v/>
      </c>
      <c r="R239" s="21">
        <f>Q239/N239</f>
        <v/>
      </c>
    </row>
    <row r="240">
      <c r="A240" s="9" t="inlineStr">
        <is>
          <t>TRX-2026-0239</t>
        </is>
      </c>
      <c r="B240" s="13" t="inlineStr">
        <is>
          <t>2026-08-29</t>
        </is>
      </c>
      <c r="C240" s="9" t="inlineStr">
        <is>
          <t>E-commerce</t>
        </is>
      </c>
      <c r="D240" s="9" t="inlineStr">
        <is>
          <t>Centro</t>
        </is>
      </c>
      <c r="E240" s="9" t="inlineStr">
        <is>
          <t>Giulia Bianchi</t>
        </is>
      </c>
      <c r="F240" s="9" t="inlineStr">
        <is>
          <t>Enterprise</t>
        </is>
      </c>
      <c r="G240" s="9" t="inlineStr">
        <is>
          <t>Cloud &amp; Software</t>
        </is>
      </c>
      <c r="H240" s="9" t="inlineStr">
        <is>
          <t>AI-AGENT-MODULE</t>
        </is>
      </c>
      <c r="I240" s="14" t="n">
        <v>750</v>
      </c>
      <c r="J240" s="15" t="n">
        <v>20</v>
      </c>
      <c r="K240" s="16" t="n">
        <v>0.05</v>
      </c>
      <c r="L240" s="14">
        <f>I240*J240</f>
        <v/>
      </c>
      <c r="M240" s="14">
        <f>L240*K240</f>
        <v/>
      </c>
      <c r="N240" s="14">
        <f>L240-M240</f>
        <v/>
      </c>
      <c r="O240" s="14" t="n">
        <v>180</v>
      </c>
      <c r="P240" s="14">
        <f>O240*J240</f>
        <v/>
      </c>
      <c r="Q240" s="14">
        <f>N240-P240</f>
        <v/>
      </c>
      <c r="R240" s="16">
        <f>Q240/N240</f>
        <v/>
      </c>
    </row>
    <row r="241">
      <c r="A241" s="17" t="inlineStr">
        <is>
          <t>TRX-2026-0240</t>
        </is>
      </c>
      <c r="B241" s="18" t="inlineStr">
        <is>
          <t>2025-11-18</t>
        </is>
      </c>
      <c r="C241" s="17" t="inlineStr">
        <is>
          <t>B2B Diretto</t>
        </is>
      </c>
      <c r="D241" s="17" t="inlineStr">
        <is>
          <t>Estero (EU)</t>
        </is>
      </c>
      <c r="E241" s="17" t="inlineStr">
        <is>
          <t>Roberto Moretti</t>
        </is>
      </c>
      <c r="F241" s="17" t="inlineStr">
        <is>
          <t>Professionisti / SOHO</t>
        </is>
      </c>
      <c r="G241" s="17" t="inlineStr">
        <is>
          <t>Cloud &amp; Software</t>
        </is>
      </c>
      <c r="H241" s="17" t="inlineStr">
        <is>
          <t>AI-AGENT-MODULE</t>
        </is>
      </c>
      <c r="I241" s="19" t="n">
        <v>750</v>
      </c>
      <c r="J241" s="20" t="n">
        <v>5</v>
      </c>
      <c r="K241" s="21" t="n">
        <v>0.05</v>
      </c>
      <c r="L241" s="19">
        <f>I241*J241</f>
        <v/>
      </c>
      <c r="M241" s="19">
        <f>L241*K241</f>
        <v/>
      </c>
      <c r="N241" s="19">
        <f>L241-M241</f>
        <v/>
      </c>
      <c r="O241" s="19" t="n">
        <v>180</v>
      </c>
      <c r="P241" s="19">
        <f>O241*J241</f>
        <v/>
      </c>
      <c r="Q241" s="19">
        <f>N241-P241</f>
        <v/>
      </c>
      <c r="R241" s="21">
        <f>Q241/N241</f>
        <v/>
      </c>
    </row>
    <row r="242">
      <c r="A242" s="9" t="inlineStr">
        <is>
          <t>TRX-2026-0241</t>
        </is>
      </c>
      <c r="B242" s="13" t="inlineStr">
        <is>
          <t>2025-03-04</t>
        </is>
      </c>
      <c r="C242" s="9" t="inlineStr">
        <is>
          <t>Partner / Retailer</t>
        </is>
      </c>
      <c r="D242" s="9" t="inlineStr">
        <is>
          <t>Sud &amp; Isole</t>
        </is>
      </c>
      <c r="E242" s="9" t="inlineStr">
        <is>
          <t>Roberto Moretti</t>
        </is>
      </c>
      <c r="F242" s="9" t="inlineStr">
        <is>
          <t>Enterprise</t>
        </is>
      </c>
      <c r="G242" s="9" t="inlineStr">
        <is>
          <t>Consulenza &amp; Setup</t>
        </is>
      </c>
      <c r="H242" s="9" t="inlineStr">
        <is>
          <t>SETUP-INTEGRATION</t>
        </is>
      </c>
      <c r="I242" s="14" t="n">
        <v>1500</v>
      </c>
      <c r="J242" s="15" t="n">
        <v>2</v>
      </c>
      <c r="K242" s="16" t="n">
        <v>0</v>
      </c>
      <c r="L242" s="14">
        <f>I242*J242</f>
        <v/>
      </c>
      <c r="M242" s="14">
        <f>L242*K242</f>
        <v/>
      </c>
      <c r="N242" s="14">
        <f>L242-M242</f>
        <v/>
      </c>
      <c r="O242" s="14" t="n">
        <v>650</v>
      </c>
      <c r="P242" s="14">
        <f>O242*J242</f>
        <v/>
      </c>
      <c r="Q242" s="14">
        <f>N242-P242</f>
        <v/>
      </c>
      <c r="R242" s="16">
        <f>Q242/N242</f>
        <v/>
      </c>
    </row>
    <row r="243">
      <c r="A243" s="17" t="inlineStr">
        <is>
          <t>TRX-2025-0242</t>
        </is>
      </c>
      <c r="B243" s="18" t="inlineStr">
        <is>
          <t>2026-07-19</t>
        </is>
      </c>
      <c r="C243" s="17" t="inlineStr">
        <is>
          <t>E-commerce</t>
        </is>
      </c>
      <c r="D243" s="17" t="inlineStr">
        <is>
          <t>Nord-Est</t>
        </is>
      </c>
      <c r="E243" s="17" t="inlineStr">
        <is>
          <t>Alessandro Riva</t>
        </is>
      </c>
      <c r="F243" s="17" t="inlineStr">
        <is>
          <t>Professionisti / SOHO</t>
        </is>
      </c>
      <c r="G243" s="17" t="inlineStr">
        <is>
          <t>Cloud &amp; Software</t>
        </is>
      </c>
      <c r="H243" s="17" t="inlineStr">
        <is>
          <t>AI-AGENT-MODULE</t>
        </is>
      </c>
      <c r="I243" s="19" t="n">
        <v>750</v>
      </c>
      <c r="J243" s="20" t="n">
        <v>8</v>
      </c>
      <c r="K243" s="21" t="n">
        <v>0.15</v>
      </c>
      <c r="L243" s="19">
        <f>I243*J243</f>
        <v/>
      </c>
      <c r="M243" s="19">
        <f>L243*K243</f>
        <v/>
      </c>
      <c r="N243" s="19">
        <f>L243-M243</f>
        <v/>
      </c>
      <c r="O243" s="19" t="n">
        <v>180</v>
      </c>
      <c r="P243" s="19">
        <f>O243*J243</f>
        <v/>
      </c>
      <c r="Q243" s="19">
        <f>N243-P243</f>
        <v/>
      </c>
      <c r="R243" s="21">
        <f>Q243/N243</f>
        <v/>
      </c>
    </row>
    <row r="244">
      <c r="A244" s="9" t="inlineStr">
        <is>
          <t>TRX-2026-0243</t>
        </is>
      </c>
      <c r="B244" s="13" t="inlineStr">
        <is>
          <t>2026-03-17</t>
        </is>
      </c>
      <c r="C244" s="9" t="inlineStr">
        <is>
          <t>E-commerce</t>
        </is>
      </c>
      <c r="D244" s="9" t="inlineStr">
        <is>
          <t>Nord-Est</t>
        </is>
      </c>
      <c r="E244" s="9" t="inlineStr">
        <is>
          <t>Elena Conti</t>
        </is>
      </c>
      <c r="F244" s="9" t="inlineStr">
        <is>
          <t>Enterprise</t>
        </is>
      </c>
      <c r="G244" s="9" t="inlineStr">
        <is>
          <t>Hardware &amp; IoT</t>
        </is>
      </c>
      <c r="H244" s="9" t="inlineStr">
        <is>
          <t>GATEWAY-EDGE-PRO</t>
        </is>
      </c>
      <c r="I244" s="14" t="n">
        <v>890</v>
      </c>
      <c r="J244" s="15" t="n">
        <v>2</v>
      </c>
      <c r="K244" s="16" t="n">
        <v>0</v>
      </c>
      <c r="L244" s="14">
        <f>I244*J244</f>
        <v/>
      </c>
      <c r="M244" s="14">
        <f>L244*K244</f>
        <v/>
      </c>
      <c r="N244" s="14">
        <f>L244-M244</f>
        <v/>
      </c>
      <c r="O244" s="14" t="n">
        <v>520</v>
      </c>
      <c r="P244" s="14">
        <f>O244*J244</f>
        <v/>
      </c>
      <c r="Q244" s="14">
        <f>N244-P244</f>
        <v/>
      </c>
      <c r="R244" s="16">
        <f>Q244/N244</f>
        <v/>
      </c>
    </row>
    <row r="245">
      <c r="A245" s="17" t="inlineStr">
        <is>
          <t>TRX-2026-0244</t>
        </is>
      </c>
      <c r="B245" s="18" t="inlineStr">
        <is>
          <t>2026-01-29</t>
        </is>
      </c>
      <c r="C245" s="17" t="inlineStr">
        <is>
          <t>B2B Diretto</t>
        </is>
      </c>
      <c r="D245" s="17" t="inlineStr">
        <is>
          <t>Nord-Est</t>
        </is>
      </c>
      <c r="E245" s="17" t="inlineStr">
        <is>
          <t>Marco Rossi</t>
        </is>
      </c>
      <c r="F245" s="17" t="inlineStr">
        <is>
          <t>Enterprise</t>
        </is>
      </c>
      <c r="G245" s="17" t="inlineStr">
        <is>
          <t>Cloud &amp; Software</t>
        </is>
      </c>
      <c r="H245" s="17" t="inlineStr">
        <is>
          <t>SaaS-PLATFORM-ENT</t>
        </is>
      </c>
      <c r="I245" s="19" t="n">
        <v>1200</v>
      </c>
      <c r="J245" s="20" t="n">
        <v>10</v>
      </c>
      <c r="K245" s="21" t="n">
        <v>0</v>
      </c>
      <c r="L245" s="19">
        <f>I245*J245</f>
        <v/>
      </c>
      <c r="M245" s="19">
        <f>L245*K245</f>
        <v/>
      </c>
      <c r="N245" s="19">
        <f>L245-M245</f>
        <v/>
      </c>
      <c r="O245" s="19" t="n">
        <v>320</v>
      </c>
      <c r="P245" s="19">
        <f>O245*J245</f>
        <v/>
      </c>
      <c r="Q245" s="19">
        <f>N245-P245</f>
        <v/>
      </c>
      <c r="R245" s="21">
        <f>Q245/N245</f>
        <v/>
      </c>
    </row>
    <row r="246">
      <c r="A246" s="9" t="inlineStr">
        <is>
          <t>TRX-2025-0245</t>
        </is>
      </c>
      <c r="B246" s="13" t="inlineStr">
        <is>
          <t>2026-05-20</t>
        </is>
      </c>
      <c r="C246" s="9" t="inlineStr">
        <is>
          <t>B2B Diretto</t>
        </is>
      </c>
      <c r="D246" s="9" t="inlineStr">
        <is>
          <t>Centro</t>
        </is>
      </c>
      <c r="E246" s="9" t="inlineStr">
        <is>
          <t>Alessandro Riva</t>
        </is>
      </c>
      <c r="F246" s="9" t="inlineStr">
        <is>
          <t>Pubblica Amministrazione</t>
        </is>
      </c>
      <c r="G246" s="9" t="inlineStr">
        <is>
          <t>Cloud &amp; Software</t>
        </is>
      </c>
      <c r="H246" s="9" t="inlineStr">
        <is>
          <t>SaaS-PLATFORM-ENT</t>
        </is>
      </c>
      <c r="I246" s="14" t="n">
        <v>1200</v>
      </c>
      <c r="J246" s="15" t="n">
        <v>1</v>
      </c>
      <c r="K246" s="16" t="n">
        <v>0</v>
      </c>
      <c r="L246" s="14">
        <f>I246*J246</f>
        <v/>
      </c>
      <c r="M246" s="14">
        <f>L246*K246</f>
        <v/>
      </c>
      <c r="N246" s="14">
        <f>L246-M246</f>
        <v/>
      </c>
      <c r="O246" s="14" t="n">
        <v>320</v>
      </c>
      <c r="P246" s="14">
        <f>O246*J246</f>
        <v/>
      </c>
      <c r="Q246" s="14">
        <f>N246-P246</f>
        <v/>
      </c>
      <c r="R246" s="16">
        <f>Q246/N246</f>
        <v/>
      </c>
    </row>
    <row r="247">
      <c r="A247" s="17" t="inlineStr">
        <is>
          <t>TRX-2025-0246</t>
        </is>
      </c>
      <c r="B247" s="18" t="inlineStr">
        <is>
          <t>2026-05-20</t>
        </is>
      </c>
      <c r="C247" s="17" t="inlineStr">
        <is>
          <t>Partner / Retailer</t>
        </is>
      </c>
      <c r="D247" s="17" t="inlineStr">
        <is>
          <t>Estero (EU)</t>
        </is>
      </c>
      <c r="E247" s="17" t="inlineStr">
        <is>
          <t>Giulia Bianchi</t>
        </is>
      </c>
      <c r="F247" s="17" t="inlineStr">
        <is>
          <t>PMI</t>
        </is>
      </c>
      <c r="G247" s="17" t="inlineStr">
        <is>
          <t>Hardware &amp; IoT</t>
        </is>
      </c>
      <c r="H247" s="17" t="inlineStr">
        <is>
          <t>GATEWAY-EDGE-PRO</t>
        </is>
      </c>
      <c r="I247" s="19" t="n">
        <v>890</v>
      </c>
      <c r="J247" s="20" t="n">
        <v>3</v>
      </c>
      <c r="K247" s="21" t="n">
        <v>0.1</v>
      </c>
      <c r="L247" s="19">
        <f>I247*J247</f>
        <v/>
      </c>
      <c r="M247" s="19">
        <f>L247*K247</f>
        <v/>
      </c>
      <c r="N247" s="19">
        <f>L247-M247</f>
        <v/>
      </c>
      <c r="O247" s="19" t="n">
        <v>520</v>
      </c>
      <c r="P247" s="19">
        <f>O247*J247</f>
        <v/>
      </c>
      <c r="Q247" s="19">
        <f>N247-P247</f>
        <v/>
      </c>
      <c r="R247" s="21">
        <f>Q247/N247</f>
        <v/>
      </c>
    </row>
    <row r="248">
      <c r="A248" s="9" t="inlineStr">
        <is>
          <t>TRX-2026-0247</t>
        </is>
      </c>
      <c r="B248" s="13" t="inlineStr">
        <is>
          <t>2026-05-07</t>
        </is>
      </c>
      <c r="C248" s="9" t="inlineStr">
        <is>
          <t>E-commerce</t>
        </is>
      </c>
      <c r="D248" s="9" t="inlineStr">
        <is>
          <t>Centro</t>
        </is>
      </c>
      <c r="E248" s="9" t="inlineStr">
        <is>
          <t>Alessandro Riva</t>
        </is>
      </c>
      <c r="F248" s="9" t="inlineStr">
        <is>
          <t>Enterprise</t>
        </is>
      </c>
      <c r="G248" s="9" t="inlineStr">
        <is>
          <t>Consulenza &amp; Setup</t>
        </is>
      </c>
      <c r="H248" s="9" t="inlineStr">
        <is>
          <t>SECURITY-AUDIT</t>
        </is>
      </c>
      <c r="I248" s="14" t="n">
        <v>2200</v>
      </c>
      <c r="J248" s="15" t="n">
        <v>10</v>
      </c>
      <c r="K248" s="16" t="n">
        <v>0.05</v>
      </c>
      <c r="L248" s="14">
        <f>I248*J248</f>
        <v/>
      </c>
      <c r="M248" s="14">
        <f>L248*K248</f>
        <v/>
      </c>
      <c r="N248" s="14">
        <f>L248-M248</f>
        <v/>
      </c>
      <c r="O248" s="14" t="n">
        <v>950</v>
      </c>
      <c r="P248" s="14">
        <f>O248*J248</f>
        <v/>
      </c>
      <c r="Q248" s="14">
        <f>N248-P248</f>
        <v/>
      </c>
      <c r="R248" s="16">
        <f>Q248/N248</f>
        <v/>
      </c>
    </row>
    <row r="249">
      <c r="A249" s="17" t="inlineStr">
        <is>
          <t>TRX-2026-0248</t>
        </is>
      </c>
      <c r="B249" s="18" t="inlineStr">
        <is>
          <t>2025-12-08</t>
        </is>
      </c>
      <c r="C249" s="17" t="inlineStr">
        <is>
          <t>Partner / Retailer</t>
        </is>
      </c>
      <c r="D249" s="17" t="inlineStr">
        <is>
          <t>Centro</t>
        </is>
      </c>
      <c r="E249" s="17" t="inlineStr">
        <is>
          <t>Alessandro Riva</t>
        </is>
      </c>
      <c r="F249" s="17" t="inlineStr">
        <is>
          <t>PMI</t>
        </is>
      </c>
      <c r="G249" s="17" t="inlineStr">
        <is>
          <t>Hardware &amp; IoT</t>
        </is>
      </c>
      <c r="H249" s="17" t="inlineStr">
        <is>
          <t>GATEWAY-EDGE-PRO</t>
        </is>
      </c>
      <c r="I249" s="19" t="n">
        <v>890</v>
      </c>
      <c r="J249" s="20" t="n">
        <v>5</v>
      </c>
      <c r="K249" s="21" t="n">
        <v>0</v>
      </c>
      <c r="L249" s="19">
        <f>I249*J249</f>
        <v/>
      </c>
      <c r="M249" s="19">
        <f>L249*K249</f>
        <v/>
      </c>
      <c r="N249" s="19">
        <f>L249-M249</f>
        <v/>
      </c>
      <c r="O249" s="19" t="n">
        <v>520</v>
      </c>
      <c r="P249" s="19">
        <f>O249*J249</f>
        <v/>
      </c>
      <c r="Q249" s="19">
        <f>N249-P249</f>
        <v/>
      </c>
      <c r="R249" s="21">
        <f>Q249/N249</f>
        <v/>
      </c>
    </row>
    <row r="250">
      <c r="A250" s="9" t="inlineStr">
        <is>
          <t>TRX-2026-0249</t>
        </is>
      </c>
      <c r="B250" s="13" t="inlineStr">
        <is>
          <t>2025-11-13</t>
        </is>
      </c>
      <c r="C250" s="9" t="inlineStr">
        <is>
          <t>B2B Diretto</t>
        </is>
      </c>
      <c r="D250" s="9" t="inlineStr">
        <is>
          <t>Centro</t>
        </is>
      </c>
      <c r="E250" s="9" t="inlineStr">
        <is>
          <t>Giulia Bianchi</t>
        </is>
      </c>
      <c r="F250" s="9" t="inlineStr">
        <is>
          <t>PMI</t>
        </is>
      </c>
      <c r="G250" s="9" t="inlineStr">
        <is>
          <t>Hardware &amp; IoT</t>
        </is>
      </c>
      <c r="H250" s="9" t="inlineStr">
        <is>
          <t>GATEWAY-EDGE-PRO</t>
        </is>
      </c>
      <c r="I250" s="14" t="n">
        <v>890</v>
      </c>
      <c r="J250" s="15" t="n">
        <v>3</v>
      </c>
      <c r="K250" s="16" t="n">
        <v>0.1</v>
      </c>
      <c r="L250" s="14">
        <f>I250*J250</f>
        <v/>
      </c>
      <c r="M250" s="14">
        <f>L250*K250</f>
        <v/>
      </c>
      <c r="N250" s="14">
        <f>L250-M250</f>
        <v/>
      </c>
      <c r="O250" s="14" t="n">
        <v>520</v>
      </c>
      <c r="P250" s="14">
        <f>O250*J250</f>
        <v/>
      </c>
      <c r="Q250" s="14">
        <f>N250-P250</f>
        <v/>
      </c>
      <c r="R250" s="16">
        <f>Q250/N250</f>
        <v/>
      </c>
    </row>
    <row r="251">
      <c r="A251" s="17" t="inlineStr">
        <is>
          <t>TRX-2026-0250</t>
        </is>
      </c>
      <c r="B251" s="18" t="inlineStr">
        <is>
          <t>2025-10-05</t>
        </is>
      </c>
      <c r="C251" s="17" t="inlineStr">
        <is>
          <t>E-commerce</t>
        </is>
      </c>
      <c r="D251" s="17" t="inlineStr">
        <is>
          <t>Sud &amp; Isole</t>
        </is>
      </c>
      <c r="E251" s="17" t="inlineStr">
        <is>
          <t>Elena Conti</t>
        </is>
      </c>
      <c r="F251" s="17" t="inlineStr">
        <is>
          <t>PMI</t>
        </is>
      </c>
      <c r="G251" s="17" t="inlineStr">
        <is>
          <t>Hardware &amp; IoT</t>
        </is>
      </c>
      <c r="H251" s="17" t="inlineStr">
        <is>
          <t>TERMINAL-SMART-V2</t>
        </is>
      </c>
      <c r="I251" s="19" t="n">
        <v>640</v>
      </c>
      <c r="J251" s="20" t="n">
        <v>1</v>
      </c>
      <c r="K251" s="21" t="n">
        <v>0.1</v>
      </c>
      <c r="L251" s="19">
        <f>I251*J251</f>
        <v/>
      </c>
      <c r="M251" s="19">
        <f>L251*K251</f>
        <v/>
      </c>
      <c r="N251" s="19">
        <f>L251-M251</f>
        <v/>
      </c>
      <c r="O251" s="19" t="n">
        <v>380</v>
      </c>
      <c r="P251" s="19">
        <f>O251*J251</f>
        <v/>
      </c>
      <c r="Q251" s="19">
        <f>N251-P251</f>
        <v/>
      </c>
      <c r="R251" s="21">
        <f>Q251/N251</f>
        <v/>
      </c>
    </row>
  </sheetData>
  <autoFilter ref="A1:R2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31" customWidth="1" min="4" max="4"/>
    <col width="45" customWidth="1" min="5" max="5"/>
  </cols>
  <sheetData>
    <row r="1">
      <c r="A1" s="8" t="inlineStr">
        <is>
          <t>Area / Agente</t>
        </is>
      </c>
      <c r="B1" s="8" t="inlineStr">
        <is>
          <t>Target Fatturato Netto 2025 (€)</t>
        </is>
      </c>
      <c r="C1" s="8" t="inlineStr">
        <is>
          <t>Target Fatturato Netto 2026 (€)</t>
        </is>
      </c>
      <c r="D1" s="8" t="inlineStr">
        <is>
          <t>Margine Minimo Obiettivo (%)</t>
        </is>
      </c>
      <c r="E1" s="8" t="inlineStr">
        <is>
          <t>Note Strategiche</t>
        </is>
      </c>
    </row>
    <row r="2">
      <c r="A2" s="9" t="inlineStr">
        <is>
          <t>Marco Rossi</t>
        </is>
      </c>
      <c r="B2" s="22" t="n">
        <v>180000</v>
      </c>
      <c r="C2" s="22" t="n">
        <v>220000</v>
      </c>
      <c r="D2" s="16" t="n">
        <v>0.45</v>
      </c>
      <c r="E2" s="9" t="inlineStr">
        <is>
          <t>Focus espansione Enterprise Nord-Ovest</t>
        </is>
      </c>
    </row>
    <row r="3">
      <c r="A3" s="9" t="inlineStr">
        <is>
          <t>Giulia Bianchi</t>
        </is>
      </c>
      <c r="B3" s="22" t="n">
        <v>160000</v>
      </c>
      <c r="C3" s="22" t="n">
        <v>200000</v>
      </c>
      <c r="D3" s="16" t="n">
        <v>0.48</v>
      </c>
      <c r="E3" s="9" t="inlineStr">
        <is>
          <t>Sviluppo canale SaaS Nord-Est</t>
        </is>
      </c>
    </row>
    <row r="4">
      <c r="A4" s="9" t="inlineStr">
        <is>
          <t>Alessandro Riva</t>
        </is>
      </c>
      <c r="B4" s="22" t="n">
        <v>150000</v>
      </c>
      <c r="C4" s="22" t="n">
        <v>180000</v>
      </c>
      <c r="D4" s="16" t="n">
        <v>0.42</v>
      </c>
      <c r="E4" s="9" t="inlineStr">
        <is>
          <t>Presidio Pubblica Amministrazione Centro</t>
        </is>
      </c>
    </row>
    <row r="5">
      <c r="A5" s="9" t="inlineStr">
        <is>
          <t>Elena Conti</t>
        </is>
      </c>
      <c r="B5" s="22" t="n">
        <v>140000</v>
      </c>
      <c r="C5" s="22" t="n">
        <v>175000</v>
      </c>
      <c r="D5" s="16" t="n">
        <v>0.5</v>
      </c>
      <c r="E5" s="9" t="inlineStr">
        <is>
          <t>Crescita servizi AI e Consulting Sud</t>
        </is>
      </c>
    </row>
    <row r="6">
      <c r="A6" s="9" t="inlineStr">
        <is>
          <t>Roberto Moretti</t>
        </is>
      </c>
      <c r="B6" s="22" t="n">
        <v>200000</v>
      </c>
      <c r="C6" s="22" t="n">
        <v>260000</v>
      </c>
      <c r="D6" s="16" t="n">
        <v>0.46</v>
      </c>
      <c r="E6" s="9" t="inlineStr">
        <is>
          <t>Espansione partner commerciali Estero (EU)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4" customWidth="1" min="3" max="3"/>
    <col width="45" customWidth="1" min="4" max="4"/>
    <col width="40" customWidth="1" min="5" max="5"/>
    <col width="30" customWidth="1" min="6" max="6"/>
  </cols>
  <sheetData>
    <row r="1">
      <c r="A1" s="1" t="inlineStr">
        <is>
          <t>SUITE DI TEST E BENCHMARK PER AGENTE AI (BI &amp; MATH ANALYSIS)</t>
        </is>
      </c>
    </row>
    <row r="2"/>
    <row r="3">
      <c r="A3" t="inlineStr">
        <is>
          <t>Test ID</t>
        </is>
      </c>
      <c r="B3" t="inlineStr">
        <is>
          <t>Livello Complessità</t>
        </is>
      </c>
      <c r="C3" t="inlineStr">
        <is>
          <t>Area di Analisi</t>
        </is>
      </c>
      <c r="D3" t="inlineStr">
        <is>
          <t>Prompt / Domanda da sottoporre all'Agente</t>
        </is>
      </c>
      <c r="E3" t="inlineStr">
        <is>
          <t>Output Atteso / Metriche da Calcolare</t>
        </is>
      </c>
      <c r="F3" t="inlineStr">
        <is>
          <t>Tipo di Grafico Richiesto</t>
        </is>
      </c>
    </row>
    <row r="4">
      <c r="A4" s="23" t="n"/>
      <c r="B4" s="23" t="n"/>
      <c r="C4" s="23" t="n"/>
      <c r="D4" s="23" t="n"/>
      <c r="E4" s="23" t="n"/>
      <c r="F4" s="23" t="n"/>
    </row>
    <row r="5">
      <c r="A5" s="24" t="inlineStr">
        <is>
          <t>TEST-01</t>
        </is>
      </c>
      <c r="B5" s="24" t="inlineStr">
        <is>
          <t>Base</t>
        </is>
      </c>
      <c r="C5" s="24" t="inlineStr">
        <is>
          <t>Aggregazione &amp; KPI</t>
        </is>
      </c>
      <c r="D5" s="24" t="inlineStr">
        <is>
          <t>Analizza il foglio 'Transazioni_Vendite' e calcola: fatturato lordo totale, totale sconti concessi, fatturato netto finale e marginalità media complessiva.</t>
        </is>
      </c>
      <c r="E5" s="24" t="inlineStr">
        <is>
          <t>4 valori scalari precisi (somme e % ponderata). Verifica se l'agente sa sommare formule o calcolare direttamente dai dati grezzi.</t>
        </is>
      </c>
      <c r="F5" s="24" t="inlineStr">
        <is>
          <t>Nessuno (output tabellare sintetico o bullet point)</t>
        </is>
      </c>
    </row>
    <row r="6">
      <c r="A6" s="25" t="inlineStr">
        <is>
          <t>TEST-02</t>
        </is>
      </c>
      <c r="B6" s="25" t="inlineStr">
        <is>
          <t>Intermedio</t>
        </is>
      </c>
      <c r="C6" s="25" t="inlineStr">
        <is>
          <t>Segmentazione per Canale</t>
        </is>
      </c>
      <c r="D6" s="25" t="inlineStr">
        <is>
          <t>Estrai la distribuzione percentuale del Fatturato Netto tra i tre canali (B2B Diretto, E-commerce, Partner / Retailer) e genera un grafico a torta o donut.</t>
        </is>
      </c>
      <c r="E6" s="25" t="inlineStr">
        <is>
          <t>Tabella pivot Canale -&gt; Fatturato Netto, % su Totale. Generazione file immagine/HTML con grafico a torta coerente.</t>
        </is>
      </c>
      <c r="F6" s="25" t="inlineStr">
        <is>
          <t>Grafico a torta (Pie Chart) o Donut Chart</t>
        </is>
      </c>
    </row>
    <row r="7">
      <c r="A7" s="24" t="inlineStr">
        <is>
          <t>TEST-03</t>
        </is>
      </c>
      <c r="B7" s="24" t="inlineStr">
        <is>
          <t>Avanzato</t>
        </is>
      </c>
      <c r="C7" s="24" t="inlineStr">
        <is>
          <t>Performance Agenti vs Target</t>
        </is>
      </c>
      <c r="D7" s="24" t="inlineStr">
        <is>
          <t>Incrocia i dati delle vendite nette effettive realizzate da ciascun agente con il foglio 'Budget_Target_2026'. Chi ha raggiunto o superato il target 2025? Qual è il gap percentuale?</t>
        </is>
      </c>
      <c r="E7" s="24" t="inlineStr">
        <is>
          <t>Calcolo del fatturato netto per agente per l'anno 2025 (filtrando la data), confronto con colonna B del foglio Target, calcolo Delta (€) e % raggiungimento.</t>
        </is>
      </c>
      <c r="F7" s="24" t="inlineStr">
        <is>
          <t>Grafico a barre orizzontali / clustered bar con confronto Target vs Effettivo</t>
        </is>
      </c>
    </row>
    <row r="8">
      <c r="A8" s="25" t="inlineStr">
        <is>
          <t>TEST-04</t>
        </is>
      </c>
      <c r="B8" s="25" t="inlineStr">
        <is>
          <t>Avanzato</t>
        </is>
      </c>
      <c r="C8" s="25" t="inlineStr">
        <is>
          <t>Trend Temporale &amp; Run-Rate</t>
        </is>
      </c>
      <c r="D8" s="25" t="inlineStr">
        <is>
          <t>Raggruppa il fatturato netto su base mensile dal 2025 al 2026. Calcola il Month-over-Month growth rate (MoM) e genera un grafico a linee con evidenziata la media mobile a 3 mesi.</t>
        </is>
      </c>
      <c r="E8" s="25" t="inlineStr">
        <is>
          <t>Time-series mensile (es. 2025-01, 2025-02...), calcolo MoM [(M_t - M_{t-1})/M_{t-1}], serie media mobile 3M.</t>
        </is>
      </c>
      <c r="F8" s="25" t="inlineStr">
        <is>
          <t>Grafico a linee (Line Chart) con 2 serie (Fatturato Mensile + Media Mobile)</t>
        </is>
      </c>
    </row>
    <row r="9">
      <c r="A9" s="24" t="inlineStr">
        <is>
          <t>TEST-05</t>
        </is>
      </c>
      <c r="B9" s="24" t="inlineStr">
        <is>
          <t>Complesso / BI</t>
        </is>
      </c>
      <c r="C9" s="24" t="inlineStr">
        <is>
          <t>Redditività per SKU &amp; Scontistica</t>
        </is>
      </c>
      <c r="D9" s="24" t="inlineStr">
        <is>
          <t>Qual è l'impatto degli sconti applicati sul margine percentuale? Mostrami una correlazione o raggruppamento per fascia di sconto (0%, 5%, 10%, 15%, 20%) con margine medio e volume venduto.</t>
        </is>
      </c>
      <c r="E9" s="24" t="inlineStr">
        <is>
          <t>Tabella per classe di sconto: N° transazioni, Margine medio %, Fatturato medio. Analisi quantitativa dell'elasticità/erosione del margine.</t>
        </is>
      </c>
      <c r="F9" s="24" t="inlineStr">
        <is>
          <t>Grafico combinato Barre (Volumi) + Linea (Margine % medio) o Scatter plot</t>
        </is>
      </c>
    </row>
    <row r="10">
      <c r="A10" s="25" t="inlineStr">
        <is>
          <t>TEST-06</t>
        </is>
      </c>
      <c r="B10" s="25" t="inlineStr">
        <is>
          <t>Complesso / Python Code</t>
        </is>
      </c>
      <c r="C10" s="25" t="inlineStr">
        <is>
          <t>Analisi di Pareto (80/20)</t>
        </is>
      </c>
      <c r="D10" s="25" t="inlineStr">
        <is>
          <t>Esegui un'analisi di Pareto sui prodotti (SKU): identifica quali articoli generano l'80% del fatturato netto complessivo e genera il relativo grafico di Pareto.</t>
        </is>
      </c>
      <c r="E10" s="25" t="inlineStr">
        <is>
          <t>Classifica decrescente per fatturato, calcolo % cumulata, evidenziazione soglia 80%.</t>
        </is>
      </c>
      <c r="F10" s="25" t="inlineStr">
        <is>
          <t>Diagramma di Pareto (Barre decrescenti + linea curva cumulata)</t>
        </is>
      </c>
    </row>
  </sheetData>
  <mergeCells count="1">
    <mergeCell ref="A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2026-09-11T15:15:49Z</dcterms:created>
  <dcterms:modified xmlns:dcterms="http://purl.org/dc/terms/" xmlns:xsi="http://www.w3.org/2001/XMLSchema-instance" xsi:type="dcterms:W3CDTF">2026-09-11T15:15:50Z</dcterms:modified>
</cp:coreProperties>
</file>